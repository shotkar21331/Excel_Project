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_level_Calculation" sheetId="1" r:id="rId4"/>
    <sheet state="visible" name="Summary" sheetId="2" r:id="rId5"/>
    <sheet state="hidden" name="Curioer_Rate" sheetId="3" r:id="rId6"/>
    <sheet state="hidden" name="Courier_compnay_invoice" sheetId="4" r:id="rId7"/>
    <sheet state="hidden" name="Company X - Pincode Zones" sheetId="5" r:id="rId8"/>
    <sheet state="hidden" name="Company X - order Report" sheetId="6" r:id="rId9"/>
    <sheet state="hidden" name="Company X - SKU Master" sheetId="7" r:id="rId10"/>
  </sheets>
  <definedNames/>
  <calcPr/>
</workbook>
</file>

<file path=xl/sharedStrings.xml><?xml version="1.0" encoding="utf-8"?>
<sst xmlns="http://schemas.openxmlformats.org/spreadsheetml/2006/main" count="2248" uniqueCount="506">
  <si>
    <t>Order ID</t>
  </si>
  <si>
    <t>AWB Number</t>
  </si>
  <si>
    <t>Total Weight as per X (KG)</t>
  </si>
  <si>
    <t>Weight Slab as per X (KG)</t>
  </si>
  <si>
    <t>Fixed_Weight</t>
  </si>
  <si>
    <t>Additional_Weight</t>
  </si>
  <si>
    <t>Total Weight as per 
courier Company (KG)</t>
  </si>
  <si>
    <t>Weight slab charged by 
Courier Company (KG)</t>
  </si>
  <si>
    <t xml:space="preserve">Delivery Zone as 
per X  </t>
  </si>
  <si>
    <t>Type of Shipment</t>
  </si>
  <si>
    <t>Comp_Key</t>
  </si>
  <si>
    <t xml:space="preserve">Delivery Zone charged
by Courier Company </t>
  </si>
  <si>
    <t>Expected Charge as 
per X (Rs)</t>
  </si>
  <si>
    <t>Charges Billed by 
Courier Company (Rs.)</t>
  </si>
  <si>
    <t>Difference Between Expected Charges 
and Billed Charges(Rs.)</t>
  </si>
  <si>
    <t>2001806232</t>
  </si>
  <si>
    <t>1091117222124</t>
  </si>
  <si>
    <t>2001806273</t>
  </si>
  <si>
    <t>1091117222194</t>
  </si>
  <si>
    <t>2001806408</t>
  </si>
  <si>
    <t>1091117222931</t>
  </si>
  <si>
    <t>2001806458</t>
  </si>
  <si>
    <t>1091117223244</t>
  </si>
  <si>
    <t>2001807012</t>
  </si>
  <si>
    <t>1091117229345</t>
  </si>
  <si>
    <t>2001806686</t>
  </si>
  <si>
    <t>1091117229555</t>
  </si>
  <si>
    <t>2001806885</t>
  </si>
  <si>
    <t>1091117229776</t>
  </si>
  <si>
    <t>2001807058</t>
  </si>
  <si>
    <t>1091117323112</t>
  </si>
  <si>
    <t>2001807186</t>
  </si>
  <si>
    <t>1091117323812</t>
  </si>
  <si>
    <t>2001807290</t>
  </si>
  <si>
    <t>1091117324206</t>
  </si>
  <si>
    <t>2001807814</t>
  </si>
  <si>
    <t>1091117326612</t>
  </si>
  <si>
    <t>2001807931</t>
  </si>
  <si>
    <t>1091117327172</t>
  </si>
  <si>
    <t>2001807956</t>
  </si>
  <si>
    <t>1091117327275</t>
  </si>
  <si>
    <t>2001807960</t>
  </si>
  <si>
    <t>1091117327312</t>
  </si>
  <si>
    <t>2001807930</t>
  </si>
  <si>
    <t>1091117327695</t>
  </si>
  <si>
    <t>2001808102</t>
  </si>
  <si>
    <t>1091117435005</t>
  </si>
  <si>
    <t>2001808118</t>
  </si>
  <si>
    <t>1091117435134</t>
  </si>
  <si>
    <t>2001808207</t>
  </si>
  <si>
    <t>1091117435370</t>
  </si>
  <si>
    <t>2001808295</t>
  </si>
  <si>
    <t>1091117435661</t>
  </si>
  <si>
    <t>2001808507</t>
  </si>
  <si>
    <t>1091117436383</t>
  </si>
  <si>
    <t>2001808542</t>
  </si>
  <si>
    <t>1091117436464</t>
  </si>
  <si>
    <t>2001808675</t>
  </si>
  <si>
    <t>1091117437050</t>
  </si>
  <si>
    <t>2001807976</t>
  </si>
  <si>
    <t>1091117327496</t>
  </si>
  <si>
    <t>2001812838</t>
  </si>
  <si>
    <t>1091118547832</t>
  </si>
  <si>
    <t>2001816684</t>
  </si>
  <si>
    <t>1091119398844</t>
  </si>
  <si>
    <t>2001817160</t>
  </si>
  <si>
    <t>1091119630264</t>
  </si>
  <si>
    <t>2001818390</t>
  </si>
  <si>
    <t>1091120014461</t>
  </si>
  <si>
    <t>2001821190</t>
  </si>
  <si>
    <t>1091120959015</t>
  </si>
  <si>
    <t>2001817093</t>
  </si>
  <si>
    <t>1091121485824</t>
  </si>
  <si>
    <t>2001823564</t>
  </si>
  <si>
    <t>1091121666133</t>
  </si>
  <si>
    <t>2001825261</t>
  </si>
  <si>
    <t>1091121981575</t>
  </si>
  <si>
    <t>2001811192</t>
  </si>
  <si>
    <t>1091117957780</t>
  </si>
  <si>
    <t>2001809917</t>
  </si>
  <si>
    <t>1091121482593</t>
  </si>
  <si>
    <t>2001806210</t>
  </si>
  <si>
    <t>1091117221940</t>
  </si>
  <si>
    <t>2001806226</t>
  </si>
  <si>
    <t>1091117222065</t>
  </si>
  <si>
    <t>2001806229</t>
  </si>
  <si>
    <t>1091117222080</t>
  </si>
  <si>
    <t>2001806233</t>
  </si>
  <si>
    <t>1091117222135</t>
  </si>
  <si>
    <t>2001806251</t>
  </si>
  <si>
    <t>1091117222146</t>
  </si>
  <si>
    <t>2001806338</t>
  </si>
  <si>
    <t>1091117222570</t>
  </si>
  <si>
    <t>2001806446</t>
  </si>
  <si>
    <t>1091117223211</t>
  </si>
  <si>
    <t>2001806533</t>
  </si>
  <si>
    <t>1091117224353</t>
  </si>
  <si>
    <t>2001806547</t>
  </si>
  <si>
    <t>1091117224611</t>
  </si>
  <si>
    <t>2001806567</t>
  </si>
  <si>
    <t>1091117224902</t>
  </si>
  <si>
    <t>2001806575</t>
  </si>
  <si>
    <t>1091117225016</t>
  </si>
  <si>
    <t>2001806616</t>
  </si>
  <si>
    <t>1091117225484</t>
  </si>
  <si>
    <t>2001806652</t>
  </si>
  <si>
    <t>1091117226221</t>
  </si>
  <si>
    <t>2001806733</t>
  </si>
  <si>
    <t>1091117226674</t>
  </si>
  <si>
    <t>2001806735</t>
  </si>
  <si>
    <t>1091117226711</t>
  </si>
  <si>
    <t>2001806726</t>
  </si>
  <si>
    <t>1091117226910</t>
  </si>
  <si>
    <t>2001806776</t>
  </si>
  <si>
    <t>1091117227573</t>
  </si>
  <si>
    <t>2001806801</t>
  </si>
  <si>
    <t>1091117227816</t>
  </si>
  <si>
    <t>2001807004</t>
  </si>
  <si>
    <t>1091117229290</t>
  </si>
  <si>
    <t>2001807036</t>
  </si>
  <si>
    <t>1091117323005</t>
  </si>
  <si>
    <t>2001807084</t>
  </si>
  <si>
    <t>1091117323215</t>
  </si>
  <si>
    <t>2001807362</t>
  </si>
  <si>
    <t>1091117324394</t>
  </si>
  <si>
    <t>2001807415</t>
  </si>
  <si>
    <t>1091117325094</t>
  </si>
  <si>
    <t>2001809592</t>
  </si>
  <si>
    <t>1091117616121</t>
  </si>
  <si>
    <t>2001809794</t>
  </si>
  <si>
    <t>1091117795531</t>
  </si>
  <si>
    <t>2001809820</t>
  </si>
  <si>
    <t>1091117795623</t>
  </si>
  <si>
    <t>2001806471</t>
  </si>
  <si>
    <t>1091117223351</t>
  </si>
  <si>
    <t>2001807241</t>
  </si>
  <si>
    <t>1091117324011</t>
  </si>
  <si>
    <t>2001807981</t>
  </si>
  <si>
    <t>1091117327570</t>
  </si>
  <si>
    <t>2001808286</t>
  </si>
  <si>
    <t>1091117435602</t>
  </si>
  <si>
    <t>2001808801</t>
  </si>
  <si>
    <t>1091117437680</t>
  </si>
  <si>
    <t>2001810104</t>
  </si>
  <si>
    <t>1091117804200</t>
  </si>
  <si>
    <t>2001811153</t>
  </si>
  <si>
    <t>1091117957533</t>
  </si>
  <si>
    <t>2001811229</t>
  </si>
  <si>
    <t>1091117957942</t>
  </si>
  <si>
    <t>2001811363</t>
  </si>
  <si>
    <t>1091117958395</t>
  </si>
  <si>
    <t>2001811466</t>
  </si>
  <si>
    <t>1091118001865</t>
  </si>
  <si>
    <t>2001811809</t>
  </si>
  <si>
    <t>1091118009786</t>
  </si>
  <si>
    <t>2001812854</t>
  </si>
  <si>
    <t>1091118548333</t>
  </si>
  <si>
    <t>2001813009</t>
  </si>
  <si>
    <t>1091118553701</t>
  </si>
  <si>
    <t>2001812650</t>
  </si>
  <si>
    <t>1091118591534</t>
  </si>
  <si>
    <t>2001814580</t>
  </si>
  <si>
    <t>1091118925110</t>
  </si>
  <si>
    <t>2001815688</t>
  </si>
  <si>
    <t>1091119169701</t>
  </si>
  <si>
    <t>2001816131</t>
  </si>
  <si>
    <t>1091119367193</t>
  </si>
  <si>
    <t>2001816996</t>
  </si>
  <si>
    <t>1091119429202</t>
  </si>
  <si>
    <t>2001821185</t>
  </si>
  <si>
    <t>1091120959225</t>
  </si>
  <si>
    <t>2001821284</t>
  </si>
  <si>
    <t>1091120962515</t>
  </si>
  <si>
    <t>2001821679</t>
  </si>
  <si>
    <t>1091121031745</t>
  </si>
  <si>
    <t>2001821742</t>
  </si>
  <si>
    <t>1091121034114</t>
  </si>
  <si>
    <t>2001821750</t>
  </si>
  <si>
    <t>1091121034350</t>
  </si>
  <si>
    <t>2001821766</t>
  </si>
  <si>
    <t>1091121034641</t>
  </si>
  <si>
    <t>2001821995</t>
  </si>
  <si>
    <t>1091121183730</t>
  </si>
  <si>
    <t>2001821502</t>
  </si>
  <si>
    <t>1091121185863</t>
  </si>
  <si>
    <t>2001822466</t>
  </si>
  <si>
    <t>1091121305541</t>
  </si>
  <si>
    <t>2001820690</t>
  </si>
  <si>
    <t>1091121306101</t>
  </si>
  <si>
    <t>2001811604</t>
  </si>
  <si>
    <t>1091118004245</t>
  </si>
  <si>
    <t>2001819252</t>
  </si>
  <si>
    <t>1091120352712</t>
  </si>
  <si>
    <t>2001827036</t>
  </si>
  <si>
    <t>1091122418320</t>
  </si>
  <si>
    <t>2001806304</t>
  </si>
  <si>
    <t>1091117222360</t>
  </si>
  <si>
    <t>2001806768</t>
  </si>
  <si>
    <t>1091117227116</t>
  </si>
  <si>
    <t>2001806823</t>
  </si>
  <si>
    <t>1091117228133</t>
  </si>
  <si>
    <t>2001806828</t>
  </si>
  <si>
    <t>1091117228192</t>
  </si>
  <si>
    <t>2001806968</t>
  </si>
  <si>
    <t>1091117229183</t>
  </si>
  <si>
    <t>2001807328</t>
  </si>
  <si>
    <t>1091117324346</t>
  </si>
  <si>
    <t>2001807785</t>
  </si>
  <si>
    <t>1091117326424</t>
  </si>
  <si>
    <t>2001807852</t>
  </si>
  <si>
    <t>1091117326925</t>
  </si>
  <si>
    <t>2001807970</t>
  </si>
  <si>
    <t>1091117327474</t>
  </si>
  <si>
    <t>2001807329</t>
  </si>
  <si>
    <t>1091117333100</t>
  </si>
  <si>
    <t>2001807613</t>
  </si>
  <si>
    <t>1091117333251</t>
  </si>
  <si>
    <t>2001808475</t>
  </si>
  <si>
    <t>1091117436346</t>
  </si>
  <si>
    <t>2001808585</t>
  </si>
  <si>
    <t>1091117436652</t>
  </si>
  <si>
    <t>2001808679</t>
  </si>
  <si>
    <t>1091117437035</t>
  </si>
  <si>
    <t>2001808739</t>
  </si>
  <si>
    <t>1091117437293</t>
  </si>
  <si>
    <t>2001808832</t>
  </si>
  <si>
    <t>1091117437864</t>
  </si>
  <si>
    <t>2001808837</t>
  </si>
  <si>
    <t>1091117437890</t>
  </si>
  <si>
    <t>2001808883</t>
  </si>
  <si>
    <t>1091117438074</t>
  </si>
  <si>
    <t>2001808992</t>
  </si>
  <si>
    <t>1091117611501</t>
  </si>
  <si>
    <t>2001809270</t>
  </si>
  <si>
    <t>1091117613962</t>
  </si>
  <si>
    <t>2001809934</t>
  </si>
  <si>
    <t>1091117803511</t>
  </si>
  <si>
    <t>2001810125</t>
  </si>
  <si>
    <t>1091117804314</t>
  </si>
  <si>
    <t>2001810281</t>
  </si>
  <si>
    <t>1091117805390</t>
  </si>
  <si>
    <t>2001810549</t>
  </si>
  <si>
    <t>1091117806263</t>
  </si>
  <si>
    <t>2001810697</t>
  </si>
  <si>
    <t>1091117807140</t>
  </si>
  <si>
    <t>2001811039</t>
  </si>
  <si>
    <t>1091117904860</t>
  </si>
  <si>
    <t>2001811058</t>
  </si>
  <si>
    <t>1091117905022</t>
  </si>
  <si>
    <t>2001811306</t>
  </si>
  <si>
    <t>1091117958163</t>
  </si>
  <si>
    <t>2001812195</t>
  </si>
  <si>
    <t>1091118442390</t>
  </si>
  <si>
    <t>2001812941</t>
  </si>
  <si>
    <t>1091118551656</t>
  </si>
  <si>
    <t>2001809383</t>
  </si>
  <si>
    <t>1091117614452</t>
  </si>
  <si>
    <t>2001820978</t>
  </si>
  <si>
    <t>1091120922803</t>
  </si>
  <si>
    <t>2001811475</t>
  </si>
  <si>
    <t>1091121844806</t>
  </si>
  <si>
    <t>2001811305</t>
  </si>
  <si>
    <t>1091121846136</t>
  </si>
  <si>
    <t xml:space="preserve">Count </t>
  </si>
  <si>
    <t>Amount(Rs)</t>
  </si>
  <si>
    <t xml:space="preserve">Total orders where X has been correctly charged </t>
  </si>
  <si>
    <t>Total orders where X has been overchraged</t>
  </si>
  <si>
    <t>Total orders where X has been undercharged</t>
  </si>
  <si>
    <t>fwd_a_fixed</t>
  </si>
  <si>
    <t>fwd_a_additional</t>
  </si>
  <si>
    <t>fwd_b_fixed</t>
  </si>
  <si>
    <t>fwd_b_additional</t>
  </si>
  <si>
    <t>fwd_c_fixed</t>
  </si>
  <si>
    <t>fwd_c_additional</t>
  </si>
  <si>
    <t>fwd_d_fixed</t>
  </si>
  <si>
    <t>fwd_d_additional</t>
  </si>
  <si>
    <t>fwd_e_fixed</t>
  </si>
  <si>
    <t>fwd_e_additional</t>
  </si>
  <si>
    <t>rto_a_fixed</t>
  </si>
  <si>
    <t>rto_a_additional</t>
  </si>
  <si>
    <t>rto_b_fixed</t>
  </si>
  <si>
    <t>rto_b_additional</t>
  </si>
  <si>
    <t>rto_c_fixed</t>
  </si>
  <si>
    <t>rto_c_additional</t>
  </si>
  <si>
    <t>rto_d_fixed</t>
  </si>
  <si>
    <t>rto_d_additional</t>
  </si>
  <si>
    <t>rto_e_fixed</t>
  </si>
  <si>
    <t>rto_e_additional</t>
  </si>
  <si>
    <t xml:space="preserve">Zone </t>
  </si>
  <si>
    <t>fwd_Fixed</t>
  </si>
  <si>
    <t xml:space="preserve">fwd_Additional </t>
  </si>
  <si>
    <t xml:space="preserve">Rto_Fixed </t>
  </si>
  <si>
    <t>Rto_additional</t>
  </si>
  <si>
    <t>a</t>
  </si>
  <si>
    <t>b</t>
  </si>
  <si>
    <t>c</t>
  </si>
  <si>
    <t>d</t>
  </si>
  <si>
    <t>e</t>
  </si>
  <si>
    <t>AWB Code</t>
  </si>
  <si>
    <t>Charged Weight</t>
  </si>
  <si>
    <t>Warehouse Pincode</t>
  </si>
  <si>
    <t>Customer Pincode</t>
  </si>
  <si>
    <t>Zone</t>
  </si>
  <si>
    <t>Billing Amount (Rs.) or Charge
Per Shipment</t>
  </si>
  <si>
    <t>1.3</t>
  </si>
  <si>
    <t>507101</t>
  </si>
  <si>
    <t>Forward charges</t>
  </si>
  <si>
    <t>135</t>
  </si>
  <si>
    <t>1</t>
  </si>
  <si>
    <t>486886</t>
  </si>
  <si>
    <t>90.2</t>
  </si>
  <si>
    <t>2.5</t>
  </si>
  <si>
    <t>532484</t>
  </si>
  <si>
    <t>224.6</t>
  </si>
  <si>
    <t>143001</t>
  </si>
  <si>
    <t>61.3</t>
  </si>
  <si>
    <t>0.15</t>
  </si>
  <si>
    <t>515591</t>
  </si>
  <si>
    <t>45.4</t>
  </si>
  <si>
    <t>326502</t>
  </si>
  <si>
    <t>208019</t>
  </si>
  <si>
    <t>1.15</t>
  </si>
  <si>
    <t>140301</t>
  </si>
  <si>
    <t>89.6</t>
  </si>
  <si>
    <t>0.5</t>
  </si>
  <si>
    <t>396001</t>
  </si>
  <si>
    <t>711106</t>
  </si>
  <si>
    <t>0.79</t>
  </si>
  <si>
    <t>284001</t>
  </si>
  <si>
    <t>0.72</t>
  </si>
  <si>
    <t>441601</t>
  </si>
  <si>
    <t>1.08</t>
  </si>
  <si>
    <t>248006</t>
  </si>
  <si>
    <t>485001</t>
  </si>
  <si>
    <t>845438</t>
  </si>
  <si>
    <t>1.28</t>
  </si>
  <si>
    <t>463106</t>
  </si>
  <si>
    <t>33</t>
  </si>
  <si>
    <t>495671</t>
  </si>
  <si>
    <t>0.2</t>
  </si>
  <si>
    <t>673002</t>
  </si>
  <si>
    <t>Forward and RTO charges</t>
  </si>
  <si>
    <t>107.3</t>
  </si>
  <si>
    <t>208002</t>
  </si>
  <si>
    <t>0.86</t>
  </si>
  <si>
    <t>416010</t>
  </si>
  <si>
    <t>1.2</t>
  </si>
  <si>
    <t>226010</t>
  </si>
  <si>
    <t>0.7</t>
  </si>
  <si>
    <t>400705</t>
  </si>
  <si>
    <t>172.8</t>
  </si>
  <si>
    <t>0.6</t>
  </si>
  <si>
    <t>262405</t>
  </si>
  <si>
    <t>102.3</t>
  </si>
  <si>
    <t>0.99</t>
  </si>
  <si>
    <t>394210</t>
  </si>
  <si>
    <t>411014</t>
  </si>
  <si>
    <t>0.8</t>
  </si>
  <si>
    <t>783301</t>
  </si>
  <si>
    <t>213.5</t>
  </si>
  <si>
    <t>486661</t>
  </si>
  <si>
    <t>258.9</t>
  </si>
  <si>
    <t>244001</t>
  </si>
  <si>
    <t>151.1</t>
  </si>
  <si>
    <t>492001</t>
  </si>
  <si>
    <t>1.6</t>
  </si>
  <si>
    <t>517128</t>
  </si>
  <si>
    <t>345</t>
  </si>
  <si>
    <t>1.13</t>
  </si>
  <si>
    <t>562110</t>
  </si>
  <si>
    <t>831006</t>
  </si>
  <si>
    <t>2.92</t>
  </si>
  <si>
    <t>140604</t>
  </si>
  <si>
    <t>174.5</t>
  </si>
  <si>
    <t>0.68</t>
  </si>
  <si>
    <t>723146</t>
  </si>
  <si>
    <t>0.71</t>
  </si>
  <si>
    <t>421204</t>
  </si>
  <si>
    <t>0.78</t>
  </si>
  <si>
    <t>263139</t>
  </si>
  <si>
    <t>1.27</t>
  </si>
  <si>
    <t>743263</t>
  </si>
  <si>
    <t>392150</t>
  </si>
  <si>
    <t>0.69</t>
  </si>
  <si>
    <t>382830</t>
  </si>
  <si>
    <t>711303</t>
  </si>
  <si>
    <t>283102</t>
  </si>
  <si>
    <t>1.16</t>
  </si>
  <si>
    <t>370201</t>
  </si>
  <si>
    <t>248001</t>
  </si>
  <si>
    <t>144001</t>
  </si>
  <si>
    <t>403401</t>
  </si>
  <si>
    <t>452001</t>
  </si>
  <si>
    <t>721636</t>
  </si>
  <si>
    <t>831002</t>
  </si>
  <si>
    <t>2.86</t>
  </si>
  <si>
    <t>226004</t>
  </si>
  <si>
    <t>1.35</t>
  </si>
  <si>
    <t>410206</t>
  </si>
  <si>
    <t>1.64</t>
  </si>
  <si>
    <t>516503</t>
  </si>
  <si>
    <t>179.8</t>
  </si>
  <si>
    <t>0.67</t>
  </si>
  <si>
    <t>742103</t>
  </si>
  <si>
    <t>2</t>
  </si>
  <si>
    <t>452018</t>
  </si>
  <si>
    <t>208001</t>
  </si>
  <si>
    <t>1.5</t>
  </si>
  <si>
    <t>244713</t>
  </si>
  <si>
    <t>580007</t>
  </si>
  <si>
    <t>3</t>
  </si>
  <si>
    <t>360005</t>
  </si>
  <si>
    <t>269.4</t>
  </si>
  <si>
    <t>1.7</t>
  </si>
  <si>
    <t>313027</t>
  </si>
  <si>
    <t>341001</t>
  </si>
  <si>
    <t>332715</t>
  </si>
  <si>
    <t>0.77</t>
  </si>
  <si>
    <t>302031</t>
  </si>
  <si>
    <t>335001</t>
  </si>
  <si>
    <t>0.76</t>
  </si>
  <si>
    <t>334004</t>
  </si>
  <si>
    <t>321001</t>
  </si>
  <si>
    <t>324001</t>
  </si>
  <si>
    <t>0.59</t>
  </si>
  <si>
    <t>321608</t>
  </si>
  <si>
    <t>302002</t>
  </si>
  <si>
    <t>311011</t>
  </si>
  <si>
    <t>86.7</t>
  </si>
  <si>
    <t>2.94</t>
  </si>
  <si>
    <t>306302</t>
  </si>
  <si>
    <t>313001</t>
  </si>
  <si>
    <t>0.61</t>
  </si>
  <si>
    <t>322255</t>
  </si>
  <si>
    <t>302017</t>
  </si>
  <si>
    <t>335512</t>
  </si>
  <si>
    <t>2.1</t>
  </si>
  <si>
    <t>307026</t>
  </si>
  <si>
    <t>327025</t>
  </si>
  <si>
    <t>313333</t>
  </si>
  <si>
    <t>342008</t>
  </si>
  <si>
    <t>314401</t>
  </si>
  <si>
    <t>1.1</t>
  </si>
  <si>
    <t>342301</t>
  </si>
  <si>
    <t>313003</t>
  </si>
  <si>
    <t>173212</t>
  </si>
  <si>
    <t>0.3</t>
  </si>
  <si>
    <t>174101</t>
  </si>
  <si>
    <t>173213</t>
  </si>
  <si>
    <t>117.9</t>
  </si>
  <si>
    <t>1.02</t>
  </si>
  <si>
    <t>322201</t>
  </si>
  <si>
    <t>314001</t>
  </si>
  <si>
    <t>331022</t>
  </si>
  <si>
    <t>305801</t>
  </si>
  <si>
    <t>2.28</t>
  </si>
  <si>
    <t>335502</t>
  </si>
  <si>
    <t>306116</t>
  </si>
  <si>
    <t>0.74</t>
  </si>
  <si>
    <t>311001</t>
  </si>
  <si>
    <t>4.13</t>
  </si>
  <si>
    <t>302019</t>
  </si>
  <si>
    <t>403.8</t>
  </si>
  <si>
    <t>0.73</t>
  </si>
  <si>
    <t>302039</t>
  </si>
  <si>
    <t>1.04</t>
  </si>
  <si>
    <t>335803</t>
  </si>
  <si>
    <t>175101</t>
  </si>
  <si>
    <t>303903</t>
  </si>
  <si>
    <t>1.63</t>
  </si>
  <si>
    <t>342012</t>
  </si>
  <si>
    <t>2.47</t>
  </si>
  <si>
    <t>334001</t>
  </si>
  <si>
    <t>302012</t>
  </si>
  <si>
    <t>342014</t>
  </si>
  <si>
    <t>324005</t>
  </si>
  <si>
    <t>0.82</t>
  </si>
  <si>
    <t>302001</t>
  </si>
  <si>
    <t>0.66</t>
  </si>
  <si>
    <t>302004</t>
  </si>
  <si>
    <t>302018</t>
  </si>
  <si>
    <t>1.86</t>
  </si>
  <si>
    <t>2.27</t>
  </si>
  <si>
    <t>324008</t>
  </si>
  <si>
    <t>302020</t>
  </si>
  <si>
    <t>325207</t>
  </si>
  <si>
    <t>303702</t>
  </si>
  <si>
    <t>313301</t>
  </si>
  <si>
    <t>Types of Shipment</t>
  </si>
  <si>
    <t xml:space="preserve">Rate </t>
  </si>
  <si>
    <t>SKU</t>
  </si>
  <si>
    <t>Order Qty</t>
  </si>
  <si>
    <t>Weight(g)</t>
  </si>
  <si>
    <t>weight (kg)</t>
  </si>
  <si>
    <t>1.00</t>
  </si>
  <si>
    <t>GIFTBOX202002</t>
  </si>
  <si>
    <t>2.00</t>
  </si>
  <si>
    <t>SACHETS001</t>
  </si>
  <si>
    <t>4.00</t>
  </si>
  <si>
    <t>3.00</t>
  </si>
  <si>
    <t>8.00</t>
  </si>
  <si>
    <t>GIFTBOX202003</t>
  </si>
  <si>
    <t>GIFTBOX202004</t>
  </si>
  <si>
    <t>GIFTBOX202001</t>
  </si>
  <si>
    <t>6.00</t>
  </si>
  <si>
    <t>Weight (g)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</si>
</sst>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2" fontId="2" numFmtId="2" xfId="0" applyAlignment="1" applyBorder="1" applyFont="1" applyNumberForma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2" numFmtId="0" xfId="0" applyAlignment="1" applyBorder="1" applyFont="1">
      <alignment readingOrder="0"/>
    </xf>
    <xf borderId="1" fillId="0" fontId="4" numFmtId="0" xfId="0" applyBorder="1" applyFont="1"/>
    <xf borderId="1" fillId="0" fontId="5" numFmtId="0" xfId="0" applyAlignment="1" applyBorder="1" applyFont="1">
      <alignment horizontal="center" vertical="bottom"/>
    </xf>
    <xf borderId="1" fillId="0" fontId="4" numFmtId="2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1" fillId="0" fontId="4" numFmtId="2" xfId="0" applyBorder="1" applyFont="1" applyNumberFormat="1"/>
    <xf borderId="0" fillId="0" fontId="4" numFmtId="2" xfId="0" applyFont="1" applyNumberFormat="1"/>
    <xf borderId="1" fillId="0" fontId="4" numFmtId="0" xfId="0" applyAlignment="1" applyBorder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1" fillId="0" fontId="5" numFmtId="0" xfId="0" applyAlignment="1" applyBorder="1" applyFont="1">
      <alignment readingOrder="0" vertical="bottom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88"/>
    <col customWidth="1" min="3" max="3" width="22.25"/>
    <col customWidth="1" min="4" max="4" width="23.25"/>
    <col customWidth="1" hidden="1" min="5" max="6" width="23.25"/>
    <col customWidth="1" min="7" max="7" width="27.38"/>
    <col customWidth="1" min="8" max="8" width="20.38"/>
    <col customWidth="1" min="9" max="9" width="15.75"/>
    <col customWidth="1" min="10" max="11" width="22.75"/>
    <col customWidth="1" min="12" max="12" width="20.5"/>
    <col customWidth="1" min="13" max="13" width="23.13"/>
    <col customWidth="1" min="14" max="14" width="24.13"/>
    <col customWidth="1" min="15" max="15" width="31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4" t="s">
        <v>11</v>
      </c>
      <c r="M1" s="6" t="s">
        <v>12</v>
      </c>
      <c r="N1" s="6" t="s">
        <v>13</v>
      </c>
      <c r="O1" s="6" t="s">
        <v>14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 t="s">
        <v>15</v>
      </c>
      <c r="B2" s="8" t="s">
        <v>16</v>
      </c>
      <c r="C2" s="9">
        <f>SUMIF('Company X - order Report'!$A:$A,A2,'Company X - order Report'!$E:$E)</f>
        <v>1.302</v>
      </c>
      <c r="D2" s="10">
        <f t="shared" ref="D2:D125" si="1">CEILING(C2,0.5)</f>
        <v>1.5</v>
      </c>
      <c r="E2" s="10">
        <f t="shared" ref="E2:E125" si="2">1</f>
        <v>1</v>
      </c>
      <c r="F2" s="10">
        <f t="shared" ref="F2:F125" si="3">(D2-0.5)/0.5</f>
        <v>2</v>
      </c>
      <c r="G2" s="10" t="str">
        <f>VLOOKUP(A2,Courier_compnay_invoice!B:C,2,0)</f>
        <v>1.3</v>
      </c>
      <c r="H2" s="8">
        <f t="shared" ref="H2:H125" si="4">CEILING(G2,0.5)</f>
        <v>1.5</v>
      </c>
      <c r="I2" s="10" t="str">
        <f>VLOOKUP(A2,'Company X - Pincode Zones'!A:D,4,0)</f>
        <v>d</v>
      </c>
      <c r="J2" s="10" t="str">
        <f>VLOOKUP(I2,'Company X - Pincode Zones'!D:E,2,0)</f>
        <v>Forward charges</v>
      </c>
      <c r="K2" s="10" t="str">
        <f>IF(AND(I2="a",J2="Forward charges"),"fwd_a",IF(AND(I2="b",J2="Forward charges"),"fwd_b",IF(AND(I2="c",J2="Forward charge"),"fwd_c",IF(AND(I2="d",J2="Forward charge"),"fwd_d",IF(AND(I2="e",J2="Forward chrage"),"fwd_e",)))))</f>
        <v/>
      </c>
      <c r="L2" s="10" t="str">
        <f>VLOOKUP(A2,Courier_compnay_invoice!B:F,5,0)</f>
        <v>d</v>
      </c>
      <c r="M2" s="7">
        <f>IFS(I2="a",(Curioer_Rate!$B$5+((D2-0.5)*2)*Curioer_Rate!$C$5),
     I2 ="b",(Curioer_Rate!$B$6+((D2-0.5)*2)*Curioer_Rate!$C$6),
     I2="c",(Curioer_Rate!$B$7+((D2-0.5)*2)*Curioer_Rate!$C$7),
     I2="d",(Curioer_Rate!$B$8+((D2-0.5)*2)*Curioer_Rate!$C$8),
     I2="e",(Curioer_Rate!$B$9+((D2-0.5)*2)*Curioer_Rate!$C$9))</f>
        <v>135</v>
      </c>
      <c r="N2" s="7" t="str">
        <f>VLOOKUP(A2,Courier_compnay_invoice!B:H,7,0)</f>
        <v>135</v>
      </c>
      <c r="O2" s="7">
        <f t="shared" ref="O2:O125" si="5">M2-N2</f>
        <v>0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8" t="s">
        <v>17</v>
      </c>
      <c r="B3" s="8" t="s">
        <v>18</v>
      </c>
      <c r="C3" s="9">
        <f>SUMIF('Company X - order Report'!$A:$A,A3,'Company X - order Report'!$E:$E)</f>
        <v>0.615</v>
      </c>
      <c r="D3" s="10">
        <f t="shared" si="1"/>
        <v>1</v>
      </c>
      <c r="E3" s="10">
        <f t="shared" si="2"/>
        <v>1</v>
      </c>
      <c r="F3" s="10">
        <f t="shared" si="3"/>
        <v>1</v>
      </c>
      <c r="G3" s="10" t="str">
        <f>VLOOKUP(A3,Courier_compnay_invoice!B:C,2,0)</f>
        <v>1</v>
      </c>
      <c r="H3" s="8">
        <f t="shared" si="4"/>
        <v>1</v>
      </c>
      <c r="I3" s="10" t="str">
        <f>VLOOKUP(A3,'Company X - Pincode Zones'!A:D,4,0)</f>
        <v>d</v>
      </c>
      <c r="J3" s="10" t="str">
        <f>VLOOKUP(I3,'Company X - Pincode Zones'!D:E,2,0)</f>
        <v>Forward charges</v>
      </c>
      <c r="K3" s="10" t="str">
        <f t="shared" ref="K3:K125" si="6">IF(AND(I3="d",J3="Forward charges"),"fwd_d","NA")</f>
        <v>fwd_d</v>
      </c>
      <c r="L3" s="10" t="str">
        <f>VLOOKUP(A3,Courier_compnay_invoice!B:F,5,0)</f>
        <v>d</v>
      </c>
      <c r="M3" s="7">
        <f>IFS(I3="a",(Curioer_Rate!$B$5+((D3-0.5)*2)*Curioer_Rate!$C$5),
     I3 ="b",(Curioer_Rate!$B$6+((D3-0.5)*2)*Curioer_Rate!$C$6),
     I3="c",(Curioer_Rate!$B$7+((D3-0.5)*2)*Curioer_Rate!$C$7),
     I3="d",(Curioer_Rate!$B$8+((D3-0.5)*2)*Curioer_Rate!$C$8),
     I3="e",(Curioer_Rate!$B$9+((D3-0.5)*2)*Curioer_Rate!$C$9))</f>
        <v>90.2</v>
      </c>
      <c r="N3" s="7" t="str">
        <f>VLOOKUP(A3,Courier_compnay_invoice!B:H,7,0)</f>
        <v>90.2</v>
      </c>
      <c r="O3" s="7">
        <f t="shared" si="5"/>
        <v>0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8" t="s">
        <v>19</v>
      </c>
      <c r="B4" s="8" t="s">
        <v>20</v>
      </c>
      <c r="C4" s="9">
        <f>SUMIF('Company X - order Report'!$A:$A,A4,'Company X - order Report'!$E:$E)</f>
        <v>2.265</v>
      </c>
      <c r="D4" s="10">
        <f t="shared" si="1"/>
        <v>2.5</v>
      </c>
      <c r="E4" s="10">
        <f t="shared" si="2"/>
        <v>1</v>
      </c>
      <c r="F4" s="10">
        <f t="shared" si="3"/>
        <v>4</v>
      </c>
      <c r="G4" s="10" t="str">
        <f>VLOOKUP(A4,Courier_compnay_invoice!B:C,2,0)</f>
        <v>2.5</v>
      </c>
      <c r="H4" s="8">
        <f t="shared" si="4"/>
        <v>2.5</v>
      </c>
      <c r="I4" s="10" t="str">
        <f>VLOOKUP(A4,'Company X - Pincode Zones'!A:D,4,0)</f>
        <v>d</v>
      </c>
      <c r="J4" s="10" t="str">
        <f>VLOOKUP(I4,'Company X - Pincode Zones'!D:E,2,0)</f>
        <v>Forward charges</v>
      </c>
      <c r="K4" s="10" t="str">
        <f t="shared" si="6"/>
        <v>fwd_d</v>
      </c>
      <c r="L4" s="10" t="str">
        <f>VLOOKUP(A4,Courier_compnay_invoice!B:F,5,0)</f>
        <v>d</v>
      </c>
      <c r="M4" s="7">
        <f>IFS(I4="a",(Curioer_Rate!$B$5+((D4-0.5)*2)*Curioer_Rate!$C$5),
     I4 ="b",(Curioer_Rate!$B$6+((D4-0.5)*2)*Curioer_Rate!$C$6),
     I4="c",(Curioer_Rate!$B$7+((D4-0.5)*2)*Curioer_Rate!$C$7),
     I4="d",(Curioer_Rate!$B$8+((D4-0.5)*2)*Curioer_Rate!$C$8),
     I4="e",(Curioer_Rate!$B$9+((D4-0.5)*2)*Curioer_Rate!$C$9))</f>
        <v>224.6</v>
      </c>
      <c r="N4" s="7" t="str">
        <f>VLOOKUP(A4,Courier_compnay_invoice!B:H,7,0)</f>
        <v>224.6</v>
      </c>
      <c r="O4" s="7">
        <f t="shared" si="5"/>
        <v>0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8" t="s">
        <v>21</v>
      </c>
      <c r="B5" s="8" t="s">
        <v>22</v>
      </c>
      <c r="C5" s="9">
        <f>SUMIF('Company X - order Report'!$A:$A,A5,'Company X - order Report'!$E:$E)</f>
        <v>0.7</v>
      </c>
      <c r="D5" s="10">
        <f t="shared" si="1"/>
        <v>1</v>
      </c>
      <c r="E5" s="10">
        <f t="shared" si="2"/>
        <v>1</v>
      </c>
      <c r="F5" s="10">
        <f t="shared" si="3"/>
        <v>1</v>
      </c>
      <c r="G5" s="10" t="str">
        <f>VLOOKUP(A5,Courier_compnay_invoice!B:C,2,0)</f>
        <v>1</v>
      </c>
      <c r="H5" s="8">
        <f t="shared" si="4"/>
        <v>1</v>
      </c>
      <c r="I5" s="10" t="str">
        <f>VLOOKUP(A5,'Company X - Pincode Zones'!A:D,4,0)</f>
        <v>b</v>
      </c>
      <c r="J5" s="10" t="str">
        <f>VLOOKUP(I5,'Company X - Pincode Zones'!D:E,2,0)</f>
        <v>Forward charges</v>
      </c>
      <c r="K5" s="10" t="str">
        <f t="shared" si="6"/>
        <v>NA</v>
      </c>
      <c r="L5" s="10" t="str">
        <f>VLOOKUP(A5,Courier_compnay_invoice!B:F,5,0)</f>
        <v>b</v>
      </c>
      <c r="M5" s="7">
        <f>IFS(I5="a",(Curioer_Rate!$B$5+((D5-0.5)*2)*Curioer_Rate!$C$5),
     I5 ="b",(Curioer_Rate!$B$6+((D5-0.5)*2)*Curioer_Rate!$C$6),
     I5="c",(Curioer_Rate!$B$7+((D5-0.5)*2)*Curioer_Rate!$C$7),
     I5="d",(Curioer_Rate!$B$8+((D5-0.5)*2)*Curioer_Rate!$C$8),
     I5="e",(Curioer_Rate!$B$9+((D5-0.5)*2)*Curioer_Rate!$C$9))</f>
        <v>61.3</v>
      </c>
      <c r="N5" s="7" t="str">
        <f>VLOOKUP(A5,Courier_compnay_invoice!B:H,7,0)</f>
        <v>61.3</v>
      </c>
      <c r="O5" s="7">
        <f t="shared" si="5"/>
        <v>0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8" t="s">
        <v>23</v>
      </c>
      <c r="B6" s="8" t="s">
        <v>24</v>
      </c>
      <c r="C6" s="9">
        <f>SUMIF('Company X - order Report'!$A:$A,A6,'Company X - order Report'!$E:$E)</f>
        <v>0.24</v>
      </c>
      <c r="D6" s="10">
        <f t="shared" si="1"/>
        <v>0.5</v>
      </c>
      <c r="E6" s="10">
        <f t="shared" si="2"/>
        <v>1</v>
      </c>
      <c r="F6" s="10">
        <f t="shared" si="3"/>
        <v>0</v>
      </c>
      <c r="G6" s="10" t="str">
        <f>VLOOKUP(A6,Courier_compnay_invoice!B:C,2,0)</f>
        <v>0.15</v>
      </c>
      <c r="H6" s="8">
        <f t="shared" si="4"/>
        <v>0.5</v>
      </c>
      <c r="I6" s="10" t="str">
        <f>VLOOKUP(A6,'Company X - Pincode Zones'!A:D,4,0)</f>
        <v>d</v>
      </c>
      <c r="J6" s="10" t="str">
        <f>VLOOKUP(I6,'Company X - Pincode Zones'!D:E,2,0)</f>
        <v>Forward charges</v>
      </c>
      <c r="K6" s="10" t="str">
        <f t="shared" si="6"/>
        <v>fwd_d</v>
      </c>
      <c r="L6" s="10" t="str">
        <f>VLOOKUP(A6,Courier_compnay_invoice!B:F,5,0)</f>
        <v>d</v>
      </c>
      <c r="M6" s="7">
        <f>IFS(I6="a",(Curioer_Rate!$B$5+((D6-0.5)*2)*Curioer_Rate!$C$5),
     I6 ="b",(Curioer_Rate!$B$6+((D6-0.5)*2)*Curioer_Rate!$C$6),
     I6="c",(Curioer_Rate!$B$7+((D6-0.5)*2)*Curioer_Rate!$C$7),
     I6="d",(Curioer_Rate!$B$8+((D6-0.5)*2)*Curioer_Rate!$C$8),
     I6="e",(Curioer_Rate!$B$9+((D6-0.5)*2)*Curioer_Rate!$C$9))</f>
        <v>45.4</v>
      </c>
      <c r="N6" s="7" t="str">
        <f>VLOOKUP(A6,Courier_compnay_invoice!B:H,7,0)</f>
        <v>45.4</v>
      </c>
      <c r="O6" s="7">
        <f t="shared" si="5"/>
        <v>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8" t="s">
        <v>25</v>
      </c>
      <c r="B7" s="8" t="s">
        <v>26</v>
      </c>
      <c r="C7" s="9">
        <f>SUMIF('Company X - order Report'!$A:$A,A7,'Company X - order Report'!$E:$E)</f>
        <v>0.24</v>
      </c>
      <c r="D7" s="10">
        <f t="shared" si="1"/>
        <v>0.5</v>
      </c>
      <c r="E7" s="10">
        <f t="shared" si="2"/>
        <v>1</v>
      </c>
      <c r="F7" s="10">
        <f t="shared" si="3"/>
        <v>0</v>
      </c>
      <c r="G7" s="10" t="str">
        <f>VLOOKUP(A7,Courier_compnay_invoice!B:C,2,0)</f>
        <v>0.15</v>
      </c>
      <c r="H7" s="8">
        <f t="shared" si="4"/>
        <v>0.5</v>
      </c>
      <c r="I7" s="10" t="str">
        <f>VLOOKUP(A7,'Company X - Pincode Zones'!A:D,4,0)</f>
        <v>d</v>
      </c>
      <c r="J7" s="10" t="str">
        <f>VLOOKUP(I7,'Company X - Pincode Zones'!D:E,2,0)</f>
        <v>Forward charges</v>
      </c>
      <c r="K7" s="10" t="str">
        <f t="shared" si="6"/>
        <v>fwd_d</v>
      </c>
      <c r="L7" s="10" t="str">
        <f>VLOOKUP(A7,Courier_compnay_invoice!B:F,5,0)</f>
        <v>d</v>
      </c>
      <c r="M7" s="7">
        <f>IFS(I7="a",(Curioer_Rate!$B$5+((D7-0.5)*2)*Curioer_Rate!$C$5),
     I7 ="b",(Curioer_Rate!$B$6+((D7-0.5)*2)*Curioer_Rate!$C$6),
     I7="c",(Curioer_Rate!$B$7+((D7-0.5)*2)*Curioer_Rate!$C$7),
     I7="d",(Curioer_Rate!$B$8+((D7-0.5)*2)*Curioer_Rate!$C$8),
     I7="e",(Curioer_Rate!$B$9+((D7-0.5)*2)*Curioer_Rate!$C$9))</f>
        <v>45.4</v>
      </c>
      <c r="N7" s="7" t="str">
        <f>VLOOKUP(A7,Courier_compnay_invoice!B:H,7,0)</f>
        <v>45.4</v>
      </c>
      <c r="O7" s="7">
        <f t="shared" si="5"/>
        <v>0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8" t="s">
        <v>27</v>
      </c>
      <c r="B8" s="8" t="s">
        <v>28</v>
      </c>
      <c r="C8" s="9">
        <f>SUMIF('Company X - order Report'!$A:$A,A8,'Company X - order Report'!$E:$E)</f>
        <v>0.84</v>
      </c>
      <c r="D8" s="10">
        <f t="shared" si="1"/>
        <v>1</v>
      </c>
      <c r="E8" s="10">
        <f t="shared" si="2"/>
        <v>1</v>
      </c>
      <c r="F8" s="10">
        <f t="shared" si="3"/>
        <v>1</v>
      </c>
      <c r="G8" s="10" t="str">
        <f>VLOOKUP(A8,Courier_compnay_invoice!B:C,2,0)</f>
        <v>1</v>
      </c>
      <c r="H8" s="8">
        <f t="shared" si="4"/>
        <v>1</v>
      </c>
      <c r="I8" s="10" t="str">
        <f>VLOOKUP(A8,'Company X - Pincode Zones'!A:D,4,0)</f>
        <v>b</v>
      </c>
      <c r="J8" s="10" t="str">
        <f>VLOOKUP(I8,'Company X - Pincode Zones'!D:E,2,0)</f>
        <v>Forward charges</v>
      </c>
      <c r="K8" s="10" t="str">
        <f t="shared" si="6"/>
        <v>NA</v>
      </c>
      <c r="L8" s="10" t="str">
        <f>VLOOKUP(A8,Courier_compnay_invoice!B:F,5,0)</f>
        <v>b</v>
      </c>
      <c r="M8" s="7">
        <f>IFS(I8="a",(Curioer_Rate!$B$5+((D8-0.5)*2)*Curioer_Rate!$C$5),
     I8 ="b",(Curioer_Rate!$B$6+((D8-0.5)*2)*Curioer_Rate!$C$6),
     I8="c",(Curioer_Rate!$B$7+((D8-0.5)*2)*Curioer_Rate!$C$7),
     I8="d",(Curioer_Rate!$B$8+((D8-0.5)*2)*Curioer_Rate!$C$8),
     I8="e",(Curioer_Rate!$B$9+((D8-0.5)*2)*Curioer_Rate!$C$9))</f>
        <v>61.3</v>
      </c>
      <c r="N8" s="7" t="str">
        <f>VLOOKUP(A8,Courier_compnay_invoice!B:H,7,0)</f>
        <v>61.3</v>
      </c>
      <c r="O8" s="7">
        <f t="shared" si="5"/>
        <v>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8" t="s">
        <v>29</v>
      </c>
      <c r="B9" s="8" t="s">
        <v>30</v>
      </c>
      <c r="C9" s="9">
        <f>SUMIF('Company X - order Report'!$A:$A,A9,'Company X - order Report'!$E:$E)</f>
        <v>1.168</v>
      </c>
      <c r="D9" s="10">
        <f t="shared" si="1"/>
        <v>1.5</v>
      </c>
      <c r="E9" s="10">
        <f t="shared" si="2"/>
        <v>1</v>
      </c>
      <c r="F9" s="10">
        <f t="shared" si="3"/>
        <v>2</v>
      </c>
      <c r="G9" s="10" t="str">
        <f>VLOOKUP(A9,Courier_compnay_invoice!B:C,2,0)</f>
        <v>1.15</v>
      </c>
      <c r="H9" s="8">
        <f t="shared" si="4"/>
        <v>1.5</v>
      </c>
      <c r="I9" s="10" t="str">
        <f>VLOOKUP(A9,'Company X - Pincode Zones'!A:D,4,0)</f>
        <v>b</v>
      </c>
      <c r="J9" s="10" t="str">
        <f>VLOOKUP(I9,'Company X - Pincode Zones'!D:E,2,0)</f>
        <v>Forward charges</v>
      </c>
      <c r="K9" s="10" t="str">
        <f t="shared" si="6"/>
        <v>NA</v>
      </c>
      <c r="L9" s="10" t="str">
        <f>VLOOKUP(A9,Courier_compnay_invoice!B:F,5,0)</f>
        <v>b</v>
      </c>
      <c r="M9" s="7">
        <f>IFS(I9="a",(Curioer_Rate!$B$5+((D9-0.5)*2)*Curioer_Rate!$C$5),
     I9 ="b",(Curioer_Rate!$B$6+((D9-0.5)*2)*Curioer_Rate!$C$6),
     I9="c",(Curioer_Rate!$B$7+((D9-0.5)*2)*Curioer_Rate!$C$7),
     I9="d",(Curioer_Rate!$B$8+((D9-0.5)*2)*Curioer_Rate!$C$8),
     I9="e",(Curioer_Rate!$B$9+((D9-0.5)*2)*Curioer_Rate!$C$9))</f>
        <v>89.6</v>
      </c>
      <c r="N9" s="7" t="str">
        <f>VLOOKUP(A9,Courier_compnay_invoice!B:H,7,0)</f>
        <v>89.6</v>
      </c>
      <c r="O9" s="7">
        <f t="shared" si="5"/>
        <v>0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8" t="s">
        <v>31</v>
      </c>
      <c r="B10" s="8" t="s">
        <v>32</v>
      </c>
      <c r="C10" s="9">
        <f>SUMIF('Company X - order Report'!$A:$A,A10,'Company X - order Report'!$E:$E)</f>
        <v>0.5</v>
      </c>
      <c r="D10" s="10">
        <f t="shared" si="1"/>
        <v>0.5</v>
      </c>
      <c r="E10" s="10">
        <f t="shared" si="2"/>
        <v>1</v>
      </c>
      <c r="F10" s="10">
        <f t="shared" si="3"/>
        <v>0</v>
      </c>
      <c r="G10" s="10" t="str">
        <f>VLOOKUP(A10,Courier_compnay_invoice!B:C,2,0)</f>
        <v>0.5</v>
      </c>
      <c r="H10" s="8">
        <f t="shared" si="4"/>
        <v>0.5</v>
      </c>
      <c r="I10" s="10" t="str">
        <f>VLOOKUP(A10,'Company X - Pincode Zones'!A:D,4,0)</f>
        <v>d</v>
      </c>
      <c r="J10" s="10" t="str">
        <f>VLOOKUP(I10,'Company X - Pincode Zones'!D:E,2,0)</f>
        <v>Forward charges</v>
      </c>
      <c r="K10" s="10" t="str">
        <f t="shared" si="6"/>
        <v>fwd_d</v>
      </c>
      <c r="L10" s="10" t="str">
        <f>VLOOKUP(A10,Courier_compnay_invoice!B:F,5,0)</f>
        <v>d</v>
      </c>
      <c r="M10" s="7">
        <f>IFS(I10="a",(Curioer_Rate!$B$5+((D10-0.5)*2)*Curioer_Rate!$C$5),
     I10 ="b",(Curioer_Rate!$B$6+((D10-0.5)*2)*Curioer_Rate!$C$6),
     I10="c",(Curioer_Rate!$B$7+((D10-0.5)*2)*Curioer_Rate!$C$7),
     I10="d",(Curioer_Rate!$B$8+((D10-0.5)*2)*Curioer_Rate!$C$8),
     I10="e",(Curioer_Rate!$B$9+((D10-0.5)*2)*Curioer_Rate!$C$9))</f>
        <v>45.4</v>
      </c>
      <c r="N10" s="7" t="str">
        <f>VLOOKUP(A10,Courier_compnay_invoice!B:H,7,0)</f>
        <v>45.4</v>
      </c>
      <c r="O10" s="7">
        <f t="shared" si="5"/>
        <v>0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8" t="s">
        <v>33</v>
      </c>
      <c r="B11" s="8" t="s">
        <v>34</v>
      </c>
      <c r="C11" s="9">
        <f>SUMIF('Company X - order Report'!$A:$A,A11,'Company X - order Report'!$E:$E)</f>
        <v>0.5</v>
      </c>
      <c r="D11" s="10">
        <f t="shared" si="1"/>
        <v>0.5</v>
      </c>
      <c r="E11" s="10">
        <f t="shared" si="2"/>
        <v>1</v>
      </c>
      <c r="F11" s="10">
        <f t="shared" si="3"/>
        <v>0</v>
      </c>
      <c r="G11" s="10" t="str">
        <f>VLOOKUP(A11,Courier_compnay_invoice!B:C,2,0)</f>
        <v>0.5</v>
      </c>
      <c r="H11" s="8">
        <f t="shared" si="4"/>
        <v>0.5</v>
      </c>
      <c r="I11" s="10" t="str">
        <f>VLOOKUP(A11,'Company X - Pincode Zones'!A:D,4,0)</f>
        <v>d</v>
      </c>
      <c r="J11" s="10" t="str">
        <f>VLOOKUP(I11,'Company X - Pincode Zones'!D:E,2,0)</f>
        <v>Forward charges</v>
      </c>
      <c r="K11" s="10" t="str">
        <f t="shared" si="6"/>
        <v>fwd_d</v>
      </c>
      <c r="L11" s="10" t="str">
        <f>VLOOKUP(A11,Courier_compnay_invoice!B:F,5,0)</f>
        <v>d</v>
      </c>
      <c r="M11" s="7">
        <f>IFS(I11="a",(Curioer_Rate!$B$5+((D11-0.5)*2)*Curioer_Rate!$C$5),
     I11 ="b",(Curioer_Rate!$B$6+((D11-0.5)*2)*Curioer_Rate!$C$6),
     I11="c",(Curioer_Rate!$B$7+((D11-0.5)*2)*Curioer_Rate!$C$7),
     I11="d",(Curioer_Rate!$B$8+((D11-0.5)*2)*Curioer_Rate!$C$8),
     I11="e",(Curioer_Rate!$B$9+((D11-0.5)*2)*Curioer_Rate!$C$9))</f>
        <v>45.4</v>
      </c>
      <c r="N11" s="7" t="str">
        <f>VLOOKUP(A11,Courier_compnay_invoice!B:H,7,0)</f>
        <v>45.4</v>
      </c>
      <c r="O11" s="7">
        <f t="shared" si="5"/>
        <v>0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8" t="s">
        <v>35</v>
      </c>
      <c r="B12" s="8" t="s">
        <v>36</v>
      </c>
      <c r="C12" s="9">
        <f>SUMIF('Company X - order Report'!$A:$A,A12,'Company X - order Report'!$E:$E)</f>
        <v>0.607</v>
      </c>
      <c r="D12" s="10">
        <f t="shared" si="1"/>
        <v>1</v>
      </c>
      <c r="E12" s="10">
        <f t="shared" si="2"/>
        <v>1</v>
      </c>
      <c r="F12" s="10">
        <f t="shared" si="3"/>
        <v>1</v>
      </c>
      <c r="G12" s="10" t="str">
        <f>VLOOKUP(A12,Courier_compnay_invoice!B:C,2,0)</f>
        <v>0.79</v>
      </c>
      <c r="H12" s="8">
        <f t="shared" si="4"/>
        <v>1</v>
      </c>
      <c r="I12" s="10" t="str">
        <f>VLOOKUP(A12,'Company X - Pincode Zones'!A:D,4,0)</f>
        <v>b</v>
      </c>
      <c r="J12" s="10" t="str">
        <f>VLOOKUP(I12,'Company X - Pincode Zones'!D:E,2,0)</f>
        <v>Forward charges</v>
      </c>
      <c r="K12" s="10" t="str">
        <f t="shared" si="6"/>
        <v>NA</v>
      </c>
      <c r="L12" s="10" t="str">
        <f>VLOOKUP(A12,Courier_compnay_invoice!B:F,5,0)</f>
        <v>b</v>
      </c>
      <c r="M12" s="7">
        <f>IFS(I12="a",(Curioer_Rate!$B$5+((D12-0.5)*2)*Curioer_Rate!$C$5),
     I12 ="b",(Curioer_Rate!$B$6+((D12-0.5)*2)*Curioer_Rate!$C$6),
     I12="c",(Curioer_Rate!$B$7+((D12-0.5)*2)*Curioer_Rate!$C$7),
     I12="d",(Curioer_Rate!$B$8+((D12-0.5)*2)*Curioer_Rate!$C$8),
     I12="e",(Curioer_Rate!$B$9+((D12-0.5)*2)*Curioer_Rate!$C$9))</f>
        <v>61.3</v>
      </c>
      <c r="N12" s="7" t="str">
        <f>VLOOKUP(A12,Courier_compnay_invoice!B:H,7,0)</f>
        <v>61.3</v>
      </c>
      <c r="O12" s="7">
        <f t="shared" si="5"/>
        <v>0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8" t="s">
        <v>37</v>
      </c>
      <c r="B13" s="8" t="s">
        <v>38</v>
      </c>
      <c r="C13" s="9">
        <f>SUMIF('Company X - order Report'!$A:$A,A13,'Company X - order Report'!$E:$E)</f>
        <v>0.607</v>
      </c>
      <c r="D13" s="10">
        <f t="shared" si="1"/>
        <v>1</v>
      </c>
      <c r="E13" s="10">
        <f t="shared" si="2"/>
        <v>1</v>
      </c>
      <c r="F13" s="10">
        <f t="shared" si="3"/>
        <v>1</v>
      </c>
      <c r="G13" s="10" t="str">
        <f>VLOOKUP(A13,Courier_compnay_invoice!B:C,2,0)</f>
        <v>0.72</v>
      </c>
      <c r="H13" s="8">
        <f t="shared" si="4"/>
        <v>1</v>
      </c>
      <c r="I13" s="10" t="str">
        <f>VLOOKUP(A13,'Company X - Pincode Zones'!A:D,4,0)</f>
        <v>d</v>
      </c>
      <c r="J13" s="10" t="str">
        <f>VLOOKUP(I13,'Company X - Pincode Zones'!D:E,2,0)</f>
        <v>Forward charges</v>
      </c>
      <c r="K13" s="10" t="str">
        <f t="shared" si="6"/>
        <v>fwd_d</v>
      </c>
      <c r="L13" s="10" t="str">
        <f>VLOOKUP(A13,Courier_compnay_invoice!B:F,5,0)</f>
        <v>d</v>
      </c>
      <c r="M13" s="7">
        <f>IFS(I13="a",(Curioer_Rate!$B$5+((D13-0.5)*2)*Curioer_Rate!$C$5),
     I13 ="b",(Curioer_Rate!$B$6+((D13-0.5)*2)*Curioer_Rate!$C$6),
     I13="c",(Curioer_Rate!$B$7+((D13-0.5)*2)*Curioer_Rate!$C$7),
     I13="d",(Curioer_Rate!$B$8+((D13-0.5)*2)*Curioer_Rate!$C$8),
     I13="e",(Curioer_Rate!$B$9+((D13-0.5)*2)*Curioer_Rate!$C$9))</f>
        <v>90.2</v>
      </c>
      <c r="N13" s="7" t="str">
        <f>VLOOKUP(A13,Courier_compnay_invoice!B:H,7,0)</f>
        <v>90.2</v>
      </c>
      <c r="O13" s="7">
        <f t="shared" si="5"/>
        <v>0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8" t="s">
        <v>39</v>
      </c>
      <c r="B14" s="8" t="s">
        <v>40</v>
      </c>
      <c r="C14" s="9">
        <f>SUMIF('Company X - order Report'!$A:$A,A14,'Company X - order Report'!$E:$E)</f>
        <v>1.08</v>
      </c>
      <c r="D14" s="10">
        <f t="shared" si="1"/>
        <v>1.5</v>
      </c>
      <c r="E14" s="10">
        <f t="shared" si="2"/>
        <v>1</v>
      </c>
      <c r="F14" s="10">
        <f t="shared" si="3"/>
        <v>2</v>
      </c>
      <c r="G14" s="10" t="str">
        <f>VLOOKUP(A14,Courier_compnay_invoice!B:C,2,0)</f>
        <v>1.08</v>
      </c>
      <c r="H14" s="8">
        <f t="shared" si="4"/>
        <v>1.5</v>
      </c>
      <c r="I14" s="10" t="str">
        <f>VLOOKUP(A14,'Company X - Pincode Zones'!A:D,4,0)</f>
        <v>b</v>
      </c>
      <c r="J14" s="10" t="str">
        <f>VLOOKUP(I14,'Company X - Pincode Zones'!D:E,2,0)</f>
        <v>Forward charges</v>
      </c>
      <c r="K14" s="10" t="str">
        <f t="shared" si="6"/>
        <v>NA</v>
      </c>
      <c r="L14" s="10" t="str">
        <f>VLOOKUP(A14,Courier_compnay_invoice!B:F,5,0)</f>
        <v>b</v>
      </c>
      <c r="M14" s="7">
        <f>IFS(I14="a",(Curioer_Rate!$B$5+((D14-0.5)*2)*Curioer_Rate!$C$5),
     I14 ="b",(Curioer_Rate!$B$6+((D14-0.5)*2)*Curioer_Rate!$C$6),
     I14="c",(Curioer_Rate!$B$7+((D14-0.5)*2)*Curioer_Rate!$C$7),
     I14="d",(Curioer_Rate!$B$8+((D14-0.5)*2)*Curioer_Rate!$C$8),
     I14="e",(Curioer_Rate!$B$9+((D14-0.5)*2)*Curioer_Rate!$C$9))</f>
        <v>89.6</v>
      </c>
      <c r="N14" s="7" t="str">
        <f>VLOOKUP(A14,Courier_compnay_invoice!B:H,7,0)</f>
        <v>89.6</v>
      </c>
      <c r="O14" s="7">
        <f t="shared" si="5"/>
        <v>0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8" t="s">
        <v>41</v>
      </c>
      <c r="B15" s="8" t="s">
        <v>42</v>
      </c>
      <c r="C15" s="9">
        <f>SUMIF('Company X - order Report'!$A:$A,A15,'Company X - order Report'!$E:$E)</f>
        <v>0.93</v>
      </c>
      <c r="D15" s="10">
        <f t="shared" si="1"/>
        <v>1</v>
      </c>
      <c r="E15" s="10">
        <f t="shared" si="2"/>
        <v>1</v>
      </c>
      <c r="F15" s="10">
        <f t="shared" si="3"/>
        <v>1</v>
      </c>
      <c r="G15" s="10" t="str">
        <f>VLOOKUP(A15,Courier_compnay_invoice!B:C,2,0)</f>
        <v>1</v>
      </c>
      <c r="H15" s="8">
        <f t="shared" si="4"/>
        <v>1</v>
      </c>
      <c r="I15" s="10" t="str">
        <f>VLOOKUP(A15,'Company X - Pincode Zones'!A:D,4,0)</f>
        <v>d</v>
      </c>
      <c r="J15" s="10" t="str">
        <f>VLOOKUP(I15,'Company X - Pincode Zones'!D:E,2,0)</f>
        <v>Forward charges</v>
      </c>
      <c r="K15" s="10" t="str">
        <f t="shared" si="6"/>
        <v>fwd_d</v>
      </c>
      <c r="L15" s="10" t="str">
        <f>VLOOKUP(A15,Courier_compnay_invoice!B:F,5,0)</f>
        <v>d</v>
      </c>
      <c r="M15" s="7">
        <f>IFS(I15="a",(Curioer_Rate!$B$5+((D15-0.5)*2)*Curioer_Rate!$C$5),
     I15 ="b",(Curioer_Rate!$B$6+((D15-0.5)*2)*Curioer_Rate!$C$6),
     I15="c",(Curioer_Rate!$B$7+((D15-0.5)*2)*Curioer_Rate!$C$7),
     I15="d",(Curioer_Rate!$B$8+((D15-0.5)*2)*Curioer_Rate!$C$8),
     I15="e",(Curioer_Rate!$B$9+((D15-0.5)*2)*Curioer_Rate!$C$9))</f>
        <v>90.2</v>
      </c>
      <c r="N15" s="7" t="str">
        <f>VLOOKUP(A15,Courier_compnay_invoice!B:H,7,0)</f>
        <v>90.2</v>
      </c>
      <c r="O15" s="7">
        <f t="shared" si="5"/>
        <v>0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8" t="s">
        <v>43</v>
      </c>
      <c r="B16" s="8" t="s">
        <v>44</v>
      </c>
      <c r="C16" s="9">
        <f>SUMIF('Company X - order Report'!$A:$A,A16,'Company X - order Report'!$E:$E)</f>
        <v>0.24</v>
      </c>
      <c r="D16" s="10">
        <f t="shared" si="1"/>
        <v>0.5</v>
      </c>
      <c r="E16" s="10">
        <f t="shared" si="2"/>
        <v>1</v>
      </c>
      <c r="F16" s="10">
        <f t="shared" si="3"/>
        <v>0</v>
      </c>
      <c r="G16" s="10" t="str">
        <f>VLOOKUP(A16,Courier_compnay_invoice!B:C,2,0)</f>
        <v>0.15</v>
      </c>
      <c r="H16" s="8">
        <f t="shared" si="4"/>
        <v>0.5</v>
      </c>
      <c r="I16" s="10" t="str">
        <f>VLOOKUP(A16,'Company X - Pincode Zones'!A:D,4,0)</f>
        <v>d</v>
      </c>
      <c r="J16" s="10" t="str">
        <f>VLOOKUP(I16,'Company X - Pincode Zones'!D:E,2,0)</f>
        <v>Forward charges</v>
      </c>
      <c r="K16" s="10" t="str">
        <f t="shared" si="6"/>
        <v>fwd_d</v>
      </c>
      <c r="L16" s="10" t="str">
        <f>VLOOKUP(A16,Courier_compnay_invoice!B:F,5,0)</f>
        <v>d</v>
      </c>
      <c r="M16" s="7">
        <f>IFS(I16="a",(Curioer_Rate!$B$5+((D16-0.5)*2)*Curioer_Rate!$C$5),
     I16 ="b",(Curioer_Rate!$B$6+((D16-0.5)*2)*Curioer_Rate!$C$6),
     I16="c",(Curioer_Rate!$B$7+((D16-0.5)*2)*Curioer_Rate!$C$7),
     I16="d",(Curioer_Rate!$B$8+((D16-0.5)*2)*Curioer_Rate!$C$8),
     I16="e",(Curioer_Rate!$B$9+((D16-0.5)*2)*Curioer_Rate!$C$9))</f>
        <v>45.4</v>
      </c>
      <c r="N16" s="7" t="str">
        <f>VLOOKUP(A16,Courier_compnay_invoice!B:H,7,0)</f>
        <v>45.4</v>
      </c>
      <c r="O16" s="7">
        <f t="shared" si="5"/>
        <v>0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8" t="s">
        <v>45</v>
      </c>
      <c r="B17" s="8" t="s">
        <v>46</v>
      </c>
      <c r="C17" s="9">
        <f>SUMIF('Company X - order Report'!$A:$A,A17,'Company X - order Report'!$E:$E)</f>
        <v>1.157</v>
      </c>
      <c r="D17" s="10">
        <f t="shared" si="1"/>
        <v>1.5</v>
      </c>
      <c r="E17" s="10">
        <f t="shared" si="2"/>
        <v>1</v>
      </c>
      <c r="F17" s="10">
        <f t="shared" si="3"/>
        <v>2</v>
      </c>
      <c r="G17" s="10" t="str">
        <f>VLOOKUP(A17,Courier_compnay_invoice!B:C,2,0)</f>
        <v>1.28</v>
      </c>
      <c r="H17" s="8">
        <f t="shared" si="4"/>
        <v>1.5</v>
      </c>
      <c r="I17" s="10" t="str">
        <f>VLOOKUP(A17,'Company X - Pincode Zones'!A:D,4,0)</f>
        <v>d</v>
      </c>
      <c r="J17" s="10" t="str">
        <f>VLOOKUP(I17,'Company X - Pincode Zones'!D:E,2,0)</f>
        <v>Forward charges</v>
      </c>
      <c r="K17" s="10" t="str">
        <f t="shared" si="6"/>
        <v>fwd_d</v>
      </c>
      <c r="L17" s="10" t="str">
        <f>VLOOKUP(A17,Courier_compnay_invoice!B:F,5,0)</f>
        <v>d</v>
      </c>
      <c r="M17" s="7">
        <f>IFS(I17="a",(Curioer_Rate!$B$5+((D17-0.5)*2)*Curioer_Rate!$C$5),
     I17 ="b",(Curioer_Rate!$B$6+((D17-0.5)*2)*Curioer_Rate!$C$6),
     I17="c",(Curioer_Rate!$B$7+((D17-0.5)*2)*Curioer_Rate!$C$7),
     I17="d",(Curioer_Rate!$B$8+((D17-0.5)*2)*Curioer_Rate!$C$8),
     I17="e",(Curioer_Rate!$B$9+((D17-0.5)*2)*Curioer_Rate!$C$9))</f>
        <v>135</v>
      </c>
      <c r="N17" s="7" t="str">
        <f>VLOOKUP(A17,Courier_compnay_invoice!B:H,7,0)</f>
        <v>135</v>
      </c>
      <c r="O17" s="7">
        <f t="shared" si="5"/>
        <v>0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8" t="s">
        <v>47</v>
      </c>
      <c r="B18" s="8" t="s">
        <v>48</v>
      </c>
      <c r="C18" s="9">
        <f>SUMIF('Company X - order Report'!$A:$A,A18,'Company X - order Report'!$E:$E)</f>
        <v>0.343</v>
      </c>
      <c r="D18" s="10">
        <f t="shared" si="1"/>
        <v>0.5</v>
      </c>
      <c r="E18" s="10">
        <f t="shared" si="2"/>
        <v>1</v>
      </c>
      <c r="F18" s="10">
        <f t="shared" si="3"/>
        <v>0</v>
      </c>
      <c r="G18" s="10" t="str">
        <f>VLOOKUP(A18,Courier_compnay_invoice!B:C,2,0)</f>
        <v>0.5</v>
      </c>
      <c r="H18" s="8">
        <f t="shared" si="4"/>
        <v>0.5</v>
      </c>
      <c r="I18" s="10" t="str">
        <f>VLOOKUP(A18,'Company X - Pincode Zones'!A:D,4,0)</f>
        <v>b</v>
      </c>
      <c r="J18" s="10" t="str">
        <f>VLOOKUP(I18,'Company X - Pincode Zones'!D:E,2,0)</f>
        <v>Forward charges</v>
      </c>
      <c r="K18" s="10" t="str">
        <f t="shared" si="6"/>
        <v>NA</v>
      </c>
      <c r="L18" s="10" t="str">
        <f>VLOOKUP(A18,Courier_compnay_invoice!B:F,5,0)</f>
        <v>b</v>
      </c>
      <c r="M18" s="7">
        <f>IFS(I18="a",(Curioer_Rate!$B$5+((D18-0.5)*2)*Curioer_Rate!$C$5),
     I18 ="b",(Curioer_Rate!$B$6+((D18-0.5)*2)*Curioer_Rate!$C$6),
     I18="c",(Curioer_Rate!$B$7+((D18-0.5)*2)*Curioer_Rate!$C$7),
     I18="d",(Curioer_Rate!$B$8+((D18-0.5)*2)*Curioer_Rate!$C$8),
     I18="e",(Curioer_Rate!$B$9+((D18-0.5)*2)*Curioer_Rate!$C$9))</f>
        <v>33</v>
      </c>
      <c r="N18" s="7" t="str">
        <f>VLOOKUP(A18,Courier_compnay_invoice!B:H,7,0)</f>
        <v>33</v>
      </c>
      <c r="O18" s="7">
        <f t="shared" si="5"/>
        <v>0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8" t="s">
        <v>49</v>
      </c>
      <c r="B19" s="8" t="s">
        <v>50</v>
      </c>
      <c r="C19" s="9">
        <f>SUMIF('Company X - order Report'!$A:$A,A19,'Company X - order Report'!$E:$E)</f>
        <v>0.607</v>
      </c>
      <c r="D19" s="10">
        <f t="shared" si="1"/>
        <v>1</v>
      </c>
      <c r="E19" s="10">
        <f t="shared" si="2"/>
        <v>1</v>
      </c>
      <c r="F19" s="10">
        <f t="shared" si="3"/>
        <v>1</v>
      </c>
      <c r="G19" s="10" t="str">
        <f>VLOOKUP(A19,Courier_compnay_invoice!B:C,2,0)</f>
        <v>0.79</v>
      </c>
      <c r="H19" s="8">
        <f t="shared" si="4"/>
        <v>1</v>
      </c>
      <c r="I19" s="10" t="str">
        <f>VLOOKUP(A19,'Company X - Pincode Zones'!A:D,4,0)</f>
        <v>d</v>
      </c>
      <c r="J19" s="10" t="str">
        <f>VLOOKUP(I19,'Company X - Pincode Zones'!D:E,2,0)</f>
        <v>Forward charges</v>
      </c>
      <c r="K19" s="10" t="str">
        <f t="shared" si="6"/>
        <v>fwd_d</v>
      </c>
      <c r="L19" s="10" t="str">
        <f>VLOOKUP(A19,Courier_compnay_invoice!B:F,5,0)</f>
        <v>d</v>
      </c>
      <c r="M19" s="7">
        <f>IFS(I19="a",(Curioer_Rate!$B$5+((D19-0.5)*2)*Curioer_Rate!$C$5),
     I19 ="b",(Curioer_Rate!$B$6+((D19-0.5)*2)*Curioer_Rate!$C$6),
     I19="c",(Curioer_Rate!$B$7+((D19-0.5)*2)*Curioer_Rate!$C$7),
     I19="d",(Curioer_Rate!$B$8+((D19-0.5)*2)*Curioer_Rate!$C$8),
     I19="e",(Curioer_Rate!$B$9+((D19-0.5)*2)*Curioer_Rate!$C$9))</f>
        <v>90.2</v>
      </c>
      <c r="N19" s="7" t="str">
        <f>VLOOKUP(A19,Courier_compnay_invoice!B:H,7,0)</f>
        <v>90.2</v>
      </c>
      <c r="O19" s="7">
        <f t="shared" si="5"/>
        <v>0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8" t="s">
        <v>51</v>
      </c>
      <c r="B20" s="8" t="s">
        <v>52</v>
      </c>
      <c r="C20" s="9">
        <f>SUMIF('Company X - order Report'!$A:$A,A20,'Company X - order Report'!$E:$E)</f>
        <v>0.245</v>
      </c>
      <c r="D20" s="10">
        <f t="shared" si="1"/>
        <v>0.5</v>
      </c>
      <c r="E20" s="10">
        <f t="shared" si="2"/>
        <v>1</v>
      </c>
      <c r="F20" s="10">
        <f t="shared" si="3"/>
        <v>0</v>
      </c>
      <c r="G20" s="10" t="str">
        <f>VLOOKUP(A20,Courier_compnay_invoice!B:C,2,0)</f>
        <v>0.2</v>
      </c>
      <c r="H20" s="8">
        <f t="shared" si="4"/>
        <v>0.5</v>
      </c>
      <c r="I20" s="10" t="str">
        <f>VLOOKUP(A20,'Company X - Pincode Zones'!A:D,4,0)</f>
        <v>e</v>
      </c>
      <c r="J20" s="10" t="str">
        <f>VLOOKUP(I20,'Company X - Pincode Zones'!D:E,2,0)</f>
        <v>Forward and RTO charges</v>
      </c>
      <c r="K20" s="10" t="str">
        <f t="shared" si="6"/>
        <v>NA</v>
      </c>
      <c r="L20" s="10" t="str">
        <f>VLOOKUP(A20,Courier_compnay_invoice!B:F,5,0)</f>
        <v>e</v>
      </c>
      <c r="M20" s="7">
        <f>IFS(I20="a",(Curioer_Rate!$B$5+((D20-0.5)*2)*Curioer_Rate!$C$5),
     I20 ="b",(Curioer_Rate!$B$6+((D20-0.5)*2)*Curioer_Rate!$C$6),
     I20="c",(Curioer_Rate!$B$7+((D20-0.5)*2)*Curioer_Rate!$C$7),
     I20="d",(Curioer_Rate!$B$8+((D20-0.5)*2)*Curioer_Rate!$C$8),
     I20="e",(Curioer_Rate!$B$9+((D20-0.5)*2)*Curioer_Rate!$C$9))</f>
        <v>56.6</v>
      </c>
      <c r="N20" s="7" t="str">
        <f>VLOOKUP(A20,Courier_compnay_invoice!B:H,7,0)</f>
        <v>107.3</v>
      </c>
      <c r="O20" s="7">
        <f t="shared" si="5"/>
        <v>-50.7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8" t="s">
        <v>53</v>
      </c>
      <c r="B21" s="8" t="s">
        <v>54</v>
      </c>
      <c r="C21" s="9">
        <f>SUMIF('Company X - order Report'!$A:$A,A21,'Company X - order Report'!$E:$E)</f>
        <v>0.607</v>
      </c>
      <c r="D21" s="10">
        <f t="shared" si="1"/>
        <v>1</v>
      </c>
      <c r="E21" s="10">
        <f t="shared" si="2"/>
        <v>1</v>
      </c>
      <c r="F21" s="10">
        <f t="shared" si="3"/>
        <v>1</v>
      </c>
      <c r="G21" s="10" t="str">
        <f>VLOOKUP(A21,Courier_compnay_invoice!B:C,2,0)</f>
        <v>0.79</v>
      </c>
      <c r="H21" s="8">
        <f t="shared" si="4"/>
        <v>1</v>
      </c>
      <c r="I21" s="10" t="str">
        <f>VLOOKUP(A21,'Company X - Pincode Zones'!A:D,4,0)</f>
        <v>b</v>
      </c>
      <c r="J21" s="10" t="str">
        <f>VLOOKUP(I21,'Company X - Pincode Zones'!D:E,2,0)</f>
        <v>Forward charges</v>
      </c>
      <c r="K21" s="10" t="str">
        <f t="shared" si="6"/>
        <v>NA</v>
      </c>
      <c r="L21" s="10" t="str">
        <f>VLOOKUP(A21,Courier_compnay_invoice!B:F,5,0)</f>
        <v>b</v>
      </c>
      <c r="M21" s="7">
        <f>IFS(I21="a",(Curioer_Rate!$B$5+((D21-0.5)*2)*Curioer_Rate!$C$5),
     I21 ="b",(Curioer_Rate!$B$6+((D21-0.5)*2)*Curioer_Rate!$C$6),
     I21="c",(Curioer_Rate!$B$7+((D21-0.5)*2)*Curioer_Rate!$C$7),
     I21="d",(Curioer_Rate!$B$8+((D21-0.5)*2)*Curioer_Rate!$C$8),
     I21="e",(Curioer_Rate!$B$9+((D21-0.5)*2)*Curioer_Rate!$C$9))</f>
        <v>61.3</v>
      </c>
      <c r="N21" s="7" t="str">
        <f>VLOOKUP(A21,Courier_compnay_invoice!B:H,7,0)</f>
        <v>61.3</v>
      </c>
      <c r="O21" s="7">
        <f t="shared" si="5"/>
        <v>0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8" t="s">
        <v>55</v>
      </c>
      <c r="B22" s="8" t="s">
        <v>56</v>
      </c>
      <c r="C22" s="9">
        <f>SUMIF('Company X - order Report'!$A:$A,A22,'Company X - order Report'!$E:$E)</f>
        <v>0.734</v>
      </c>
      <c r="D22" s="10">
        <f t="shared" si="1"/>
        <v>1</v>
      </c>
      <c r="E22" s="10">
        <f t="shared" si="2"/>
        <v>1</v>
      </c>
      <c r="F22" s="10">
        <f t="shared" si="3"/>
        <v>1</v>
      </c>
      <c r="G22" s="10" t="str">
        <f>VLOOKUP(A22,Courier_compnay_invoice!B:C,2,0)</f>
        <v>0.86</v>
      </c>
      <c r="H22" s="8">
        <f t="shared" si="4"/>
        <v>1</v>
      </c>
      <c r="I22" s="10" t="str">
        <f>VLOOKUP(A22,'Company X - Pincode Zones'!A:D,4,0)</f>
        <v>d</v>
      </c>
      <c r="J22" s="10" t="str">
        <f>VLOOKUP(I22,'Company X - Pincode Zones'!D:E,2,0)</f>
        <v>Forward charges</v>
      </c>
      <c r="K22" s="10" t="str">
        <f t="shared" si="6"/>
        <v>fwd_d</v>
      </c>
      <c r="L22" s="10" t="str">
        <f>VLOOKUP(A22,Courier_compnay_invoice!B:F,5,0)</f>
        <v>d</v>
      </c>
      <c r="M22" s="7">
        <f>IFS(I22="a",(Curioer_Rate!$B$5+((D22-0.5)*2)*Curioer_Rate!$C$5),
     I22 ="b",(Curioer_Rate!$B$6+((D22-0.5)*2)*Curioer_Rate!$C$6),
     I22="c",(Curioer_Rate!$B$7+((D22-0.5)*2)*Curioer_Rate!$C$7),
     I22="d",(Curioer_Rate!$B$8+((D22-0.5)*2)*Curioer_Rate!$C$8),
     I22="e",(Curioer_Rate!$B$9+((D22-0.5)*2)*Curioer_Rate!$C$9))</f>
        <v>90.2</v>
      </c>
      <c r="N22" s="7" t="str">
        <f>VLOOKUP(A22,Courier_compnay_invoice!B:H,7,0)</f>
        <v>90.2</v>
      </c>
      <c r="O22" s="7">
        <f t="shared" si="5"/>
        <v>0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8" t="s">
        <v>57</v>
      </c>
      <c r="B23" s="8" t="s">
        <v>58</v>
      </c>
      <c r="C23" s="9">
        <f>SUMIF('Company X - order Report'!$A:$A,A23,'Company X - order Report'!$E:$E)</f>
        <v>1.183</v>
      </c>
      <c r="D23" s="10">
        <f t="shared" si="1"/>
        <v>1.5</v>
      </c>
      <c r="E23" s="10">
        <f t="shared" si="2"/>
        <v>1</v>
      </c>
      <c r="F23" s="10">
        <f t="shared" si="3"/>
        <v>2</v>
      </c>
      <c r="G23" s="10" t="str">
        <f>VLOOKUP(A23,Courier_compnay_invoice!B:C,2,0)</f>
        <v>1.2</v>
      </c>
      <c r="H23" s="8">
        <f t="shared" si="4"/>
        <v>1.5</v>
      </c>
      <c r="I23" s="10" t="str">
        <f>VLOOKUP(A23,'Company X - Pincode Zones'!A:D,4,0)</f>
        <v>b</v>
      </c>
      <c r="J23" s="10" t="str">
        <f>VLOOKUP(I23,'Company X - Pincode Zones'!D:E,2,0)</f>
        <v>Forward charges</v>
      </c>
      <c r="K23" s="10" t="str">
        <f t="shared" si="6"/>
        <v>NA</v>
      </c>
      <c r="L23" s="10" t="str">
        <f>VLOOKUP(A23,Courier_compnay_invoice!B:F,5,0)</f>
        <v>b</v>
      </c>
      <c r="M23" s="7">
        <f>IFS(I23="a",(Curioer_Rate!$B$5+((D23-0.5)*2)*Curioer_Rate!$C$5),
     I23 ="b",(Curioer_Rate!$B$6+((D23-0.5)*2)*Curioer_Rate!$C$6),
     I23="c",(Curioer_Rate!$B$7+((D23-0.5)*2)*Curioer_Rate!$C$7),
     I23="d",(Curioer_Rate!$B$8+((D23-0.5)*2)*Curioer_Rate!$C$8),
     I23="e",(Curioer_Rate!$B$9+((D23-0.5)*2)*Curioer_Rate!$C$9))</f>
        <v>89.6</v>
      </c>
      <c r="N23" s="7" t="str">
        <f>VLOOKUP(A23,Courier_compnay_invoice!B:H,7,0)</f>
        <v>89.6</v>
      </c>
      <c r="O23" s="7">
        <f t="shared" si="5"/>
        <v>0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8" t="s">
        <v>59</v>
      </c>
      <c r="B24" s="8" t="s">
        <v>60</v>
      </c>
      <c r="C24" s="9">
        <f>SUMIF('Company X - order Report'!$A:$A,A24,'Company X - order Report'!$E:$E)</f>
        <v>0.721</v>
      </c>
      <c r="D24" s="10">
        <f t="shared" si="1"/>
        <v>1</v>
      </c>
      <c r="E24" s="10">
        <f t="shared" si="2"/>
        <v>1</v>
      </c>
      <c r="F24" s="10">
        <f t="shared" si="3"/>
        <v>1</v>
      </c>
      <c r="G24" s="10" t="str">
        <f>VLOOKUP(A24,Courier_compnay_invoice!B:C,2,0)</f>
        <v>0.7</v>
      </c>
      <c r="H24" s="8">
        <f t="shared" si="4"/>
        <v>1</v>
      </c>
      <c r="I24" s="10" t="str">
        <f>VLOOKUP(A24,'Company X - Pincode Zones'!A:D,4,0)</f>
        <v>d</v>
      </c>
      <c r="J24" s="10" t="str">
        <f>VLOOKUP(I24,'Company X - Pincode Zones'!D:E,2,0)</f>
        <v>Forward charges</v>
      </c>
      <c r="K24" s="10" t="str">
        <f t="shared" si="6"/>
        <v>fwd_d</v>
      </c>
      <c r="L24" s="10" t="str">
        <f>VLOOKUP(A24,Courier_compnay_invoice!B:F,5,0)</f>
        <v>d</v>
      </c>
      <c r="M24" s="7">
        <f>IFS(I24="a",(Curioer_Rate!$B$5+((D24-0.5)*2)*Curioer_Rate!$C$5),
     I24 ="b",(Curioer_Rate!$B$6+((D24-0.5)*2)*Curioer_Rate!$C$6),
     I24="c",(Curioer_Rate!$B$7+((D24-0.5)*2)*Curioer_Rate!$C$7),
     I24="d",(Curioer_Rate!$B$8+((D24-0.5)*2)*Curioer_Rate!$C$8),
     I24="e",(Curioer_Rate!$B$9+((D24-0.5)*2)*Curioer_Rate!$C$9))</f>
        <v>90.2</v>
      </c>
      <c r="N24" s="7" t="str">
        <f>VLOOKUP(A24,Courier_compnay_invoice!B:H,7,0)</f>
        <v>172.8</v>
      </c>
      <c r="O24" s="7">
        <f t="shared" si="5"/>
        <v>-82.6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8" t="s">
        <v>61</v>
      </c>
      <c r="B25" s="8" t="s">
        <v>62</v>
      </c>
      <c r="C25" s="9">
        <f>SUMIF('Company X - order Report'!$A:$A,A25,'Company X - order Report'!$E:$E)</f>
        <v>0.558</v>
      </c>
      <c r="D25" s="10">
        <f t="shared" si="1"/>
        <v>1</v>
      </c>
      <c r="E25" s="10">
        <f t="shared" si="2"/>
        <v>1</v>
      </c>
      <c r="F25" s="10">
        <f t="shared" si="3"/>
        <v>1</v>
      </c>
      <c r="G25" s="10" t="str">
        <f>VLOOKUP(A25,Courier_compnay_invoice!B:C,2,0)</f>
        <v>0.6</v>
      </c>
      <c r="H25" s="8">
        <f t="shared" si="4"/>
        <v>1</v>
      </c>
      <c r="I25" s="10" t="str">
        <f>VLOOKUP(A25,'Company X - Pincode Zones'!A:D,4,0)</f>
        <v>b</v>
      </c>
      <c r="J25" s="10" t="str">
        <f>VLOOKUP(I25,'Company X - Pincode Zones'!D:E,2,0)</f>
        <v>Forward charges</v>
      </c>
      <c r="K25" s="10" t="str">
        <f t="shared" si="6"/>
        <v>NA</v>
      </c>
      <c r="L25" s="10" t="str">
        <f>VLOOKUP(A25,Courier_compnay_invoice!B:F,5,0)</f>
        <v>b</v>
      </c>
      <c r="M25" s="7">
        <f>IFS(I25="a",(Curioer_Rate!$B$5+((D25-0.5)*2)*Curioer_Rate!$C$5),
     I25 ="b",(Curioer_Rate!$B$6+((D25-0.5)*2)*Curioer_Rate!$C$6),
     I25="c",(Curioer_Rate!$B$7+((D25-0.5)*2)*Curioer_Rate!$C$7),
     I25="d",(Curioer_Rate!$B$8+((D25-0.5)*2)*Curioer_Rate!$C$8),
     I25="e",(Curioer_Rate!$B$9+((D25-0.5)*2)*Curioer_Rate!$C$9))</f>
        <v>61.3</v>
      </c>
      <c r="N25" s="7" t="str">
        <f>VLOOKUP(A25,Courier_compnay_invoice!B:H,7,0)</f>
        <v>102.3</v>
      </c>
      <c r="O25" s="7">
        <f t="shared" si="5"/>
        <v>-41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8" t="s">
        <v>63</v>
      </c>
      <c r="B26" s="8" t="s">
        <v>64</v>
      </c>
      <c r="C26" s="9">
        <f>SUMIF('Company X - order Report'!$A:$A,A26,'Company X - order Report'!$E:$E)</f>
        <v>0.92</v>
      </c>
      <c r="D26" s="10">
        <f t="shared" si="1"/>
        <v>1</v>
      </c>
      <c r="E26" s="10">
        <f t="shared" si="2"/>
        <v>1</v>
      </c>
      <c r="F26" s="10">
        <f t="shared" si="3"/>
        <v>1</v>
      </c>
      <c r="G26" s="10" t="str">
        <f>VLOOKUP(A26,Courier_compnay_invoice!B:C,2,0)</f>
        <v>0.99</v>
      </c>
      <c r="H26" s="8">
        <f t="shared" si="4"/>
        <v>1</v>
      </c>
      <c r="I26" s="10" t="str">
        <f>VLOOKUP(A26,'Company X - Pincode Zones'!A:D,4,0)</f>
        <v>d</v>
      </c>
      <c r="J26" s="10" t="str">
        <f>VLOOKUP(I26,'Company X - Pincode Zones'!D:E,2,0)</f>
        <v>Forward charges</v>
      </c>
      <c r="K26" s="10" t="str">
        <f t="shared" si="6"/>
        <v>fwd_d</v>
      </c>
      <c r="L26" s="10" t="str">
        <f>VLOOKUP(A26,Courier_compnay_invoice!B:F,5,0)</f>
        <v>d</v>
      </c>
      <c r="M26" s="7">
        <f>IFS(I26="a",(Curioer_Rate!$B$5+((D26-0.5)*2)*Curioer_Rate!$C$5),
     I26 ="b",(Curioer_Rate!$B$6+((D26-0.5)*2)*Curioer_Rate!$C$6),
     I26="c",(Curioer_Rate!$B$7+((D26-0.5)*2)*Curioer_Rate!$C$7),
     I26="d",(Curioer_Rate!$B$8+((D26-0.5)*2)*Curioer_Rate!$C$8),
     I26="e",(Curioer_Rate!$B$9+((D26-0.5)*2)*Curioer_Rate!$C$9))</f>
        <v>90.2</v>
      </c>
      <c r="N26" s="7" t="str">
        <f>VLOOKUP(A26,Courier_compnay_invoice!B:H,7,0)</f>
        <v>172.8</v>
      </c>
      <c r="O26" s="7">
        <f t="shared" si="5"/>
        <v>-82.6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8" t="s">
        <v>65</v>
      </c>
      <c r="B27" s="8" t="s">
        <v>66</v>
      </c>
      <c r="C27" s="9">
        <f>SUMIF('Company X - order Report'!$A:$A,A27,'Company X - order Report'!$E:$E)</f>
        <v>0.7</v>
      </c>
      <c r="D27" s="10">
        <f t="shared" si="1"/>
        <v>1</v>
      </c>
      <c r="E27" s="10">
        <f t="shared" si="2"/>
        <v>1</v>
      </c>
      <c r="F27" s="10">
        <f t="shared" si="3"/>
        <v>1</v>
      </c>
      <c r="G27" s="10" t="str">
        <f>VLOOKUP(A27,Courier_compnay_invoice!B:C,2,0)</f>
        <v>0.7</v>
      </c>
      <c r="H27" s="8">
        <f t="shared" si="4"/>
        <v>1</v>
      </c>
      <c r="I27" s="10" t="str">
        <f>VLOOKUP(A27,'Company X - Pincode Zones'!A:D,4,0)</f>
        <v>d</v>
      </c>
      <c r="J27" s="10" t="str">
        <f>VLOOKUP(I27,'Company X - Pincode Zones'!D:E,2,0)</f>
        <v>Forward charges</v>
      </c>
      <c r="K27" s="10" t="str">
        <f t="shared" si="6"/>
        <v>fwd_d</v>
      </c>
      <c r="L27" s="10" t="str">
        <f>VLOOKUP(A27,Courier_compnay_invoice!B:F,5,0)</f>
        <v>d</v>
      </c>
      <c r="M27" s="7">
        <f>IFS(I27="a",(Curioer_Rate!$B$5+((D27-0.5)*2)*Curioer_Rate!$C$5),
     I27 ="b",(Curioer_Rate!$B$6+((D27-0.5)*2)*Curioer_Rate!$C$6),
     I27="c",(Curioer_Rate!$B$7+((D27-0.5)*2)*Curioer_Rate!$C$7),
     I27="d",(Curioer_Rate!$B$8+((D27-0.5)*2)*Curioer_Rate!$C$8),
     I27="e",(Curioer_Rate!$B$9+((D27-0.5)*2)*Curioer_Rate!$C$9))</f>
        <v>90.2</v>
      </c>
      <c r="N27" s="7" t="str">
        <f>VLOOKUP(A27,Courier_compnay_invoice!B:H,7,0)</f>
        <v>172.8</v>
      </c>
      <c r="O27" s="7">
        <f t="shared" si="5"/>
        <v>-82.6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8" t="s">
        <v>67</v>
      </c>
      <c r="B28" s="8" t="s">
        <v>68</v>
      </c>
      <c r="C28" s="9">
        <f>SUMIF('Company X - order Report'!$A:$A,A28,'Company X - order Report'!$E:$E)</f>
        <v>0.841</v>
      </c>
      <c r="D28" s="10">
        <f t="shared" si="1"/>
        <v>1</v>
      </c>
      <c r="E28" s="10">
        <f t="shared" si="2"/>
        <v>1</v>
      </c>
      <c r="F28" s="10">
        <f t="shared" si="3"/>
        <v>1</v>
      </c>
      <c r="G28" s="10" t="str">
        <f>VLOOKUP(A28,Courier_compnay_invoice!B:C,2,0)</f>
        <v>0.8</v>
      </c>
      <c r="H28" s="8">
        <f t="shared" si="4"/>
        <v>1</v>
      </c>
      <c r="I28" s="10" t="str">
        <f>VLOOKUP(A28,'Company X - Pincode Zones'!A:D,4,0)</f>
        <v>e</v>
      </c>
      <c r="J28" s="10" t="str">
        <f>VLOOKUP(I28,'Company X - Pincode Zones'!D:E,2,0)</f>
        <v>Forward and RTO charges</v>
      </c>
      <c r="K28" s="10" t="str">
        <f t="shared" si="6"/>
        <v>NA</v>
      </c>
      <c r="L28" s="10" t="str">
        <f>VLOOKUP(A28,Courier_compnay_invoice!B:F,5,0)</f>
        <v>e</v>
      </c>
      <c r="M28" s="7">
        <f>IFS(I28="a",(Curioer_Rate!$B$5+((D28-0.5)*2)*Curioer_Rate!$C$5),
     I28 ="b",(Curioer_Rate!$B$6+((D28-0.5)*2)*Curioer_Rate!$C$6),
     I28="c",(Curioer_Rate!$B$7+((D28-0.5)*2)*Curioer_Rate!$C$7),
     I28="d",(Curioer_Rate!$B$8+((D28-0.5)*2)*Curioer_Rate!$C$8),
     I28="e",(Curioer_Rate!$B$9+((D28-0.5)*2)*Curioer_Rate!$C$9))</f>
        <v>112.1</v>
      </c>
      <c r="N28" s="7" t="str">
        <f>VLOOKUP(A28,Courier_compnay_invoice!B:H,7,0)</f>
        <v>213.5</v>
      </c>
      <c r="O28" s="7">
        <f t="shared" si="5"/>
        <v>-101.4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8" t="s">
        <v>69</v>
      </c>
      <c r="B29" s="8" t="s">
        <v>70</v>
      </c>
      <c r="C29" s="9">
        <f>SUMIF('Company X - order Report'!$A:$A,A29,'Company X - order Report'!$E:$E)</f>
        <v>1.2</v>
      </c>
      <c r="D29" s="10">
        <f t="shared" si="1"/>
        <v>1.5</v>
      </c>
      <c r="E29" s="10">
        <f t="shared" si="2"/>
        <v>1</v>
      </c>
      <c r="F29" s="10">
        <f t="shared" si="3"/>
        <v>2</v>
      </c>
      <c r="G29" s="10" t="str">
        <f>VLOOKUP(A29,Courier_compnay_invoice!B:C,2,0)</f>
        <v>1.2</v>
      </c>
      <c r="H29" s="8">
        <f t="shared" si="4"/>
        <v>1.5</v>
      </c>
      <c r="I29" s="10" t="str">
        <f>VLOOKUP(A29,'Company X - Pincode Zones'!A:D,4,0)</f>
        <v>d</v>
      </c>
      <c r="J29" s="10" t="str">
        <f>VLOOKUP(I29,'Company X - Pincode Zones'!D:E,2,0)</f>
        <v>Forward charges</v>
      </c>
      <c r="K29" s="10" t="str">
        <f t="shared" si="6"/>
        <v>fwd_d</v>
      </c>
      <c r="L29" s="10" t="str">
        <f>VLOOKUP(A29,Courier_compnay_invoice!B:F,5,0)</f>
        <v>d</v>
      </c>
      <c r="M29" s="7">
        <f>IFS(I29="a",(Curioer_Rate!$B$5+((D29-0.5)*2)*Curioer_Rate!$C$5),
     I29 ="b",(Curioer_Rate!$B$6+((D29-0.5)*2)*Curioer_Rate!$C$6),
     I29="c",(Curioer_Rate!$B$7+((D29-0.5)*2)*Curioer_Rate!$C$7),
     I29="d",(Curioer_Rate!$B$8+((D29-0.5)*2)*Curioer_Rate!$C$8),
     I29="e",(Curioer_Rate!$B$9+((D29-0.5)*2)*Curioer_Rate!$C$9))</f>
        <v>135</v>
      </c>
      <c r="N29" s="7" t="str">
        <f>VLOOKUP(A29,Courier_compnay_invoice!B:H,7,0)</f>
        <v>258.9</v>
      </c>
      <c r="O29" s="7">
        <f t="shared" si="5"/>
        <v>-123.9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8" t="s">
        <v>71</v>
      </c>
      <c r="B30" s="8" t="s">
        <v>72</v>
      </c>
      <c r="C30" s="9">
        <f>SUMIF('Company X - order Report'!$A:$A,A30,'Company X - order Report'!$E:$E)</f>
        <v>1.357</v>
      </c>
      <c r="D30" s="10">
        <f t="shared" si="1"/>
        <v>1.5</v>
      </c>
      <c r="E30" s="10">
        <f t="shared" si="2"/>
        <v>1</v>
      </c>
      <c r="F30" s="10">
        <f t="shared" si="3"/>
        <v>2</v>
      </c>
      <c r="G30" s="10" t="str">
        <f>VLOOKUP(A30,Courier_compnay_invoice!B:C,2,0)</f>
        <v>1.3</v>
      </c>
      <c r="H30" s="8">
        <f t="shared" si="4"/>
        <v>1.5</v>
      </c>
      <c r="I30" s="10" t="str">
        <f>VLOOKUP(A30,'Company X - Pincode Zones'!A:D,4,0)</f>
        <v>b</v>
      </c>
      <c r="J30" s="10" t="str">
        <f>VLOOKUP(I30,'Company X - Pincode Zones'!D:E,2,0)</f>
        <v>Forward charges</v>
      </c>
      <c r="K30" s="10" t="str">
        <f t="shared" si="6"/>
        <v>NA</v>
      </c>
      <c r="L30" s="10" t="str">
        <f>VLOOKUP(A30,Courier_compnay_invoice!B:F,5,0)</f>
        <v>b</v>
      </c>
      <c r="M30" s="7">
        <f>IFS(I30="a",(Curioer_Rate!$B$5+((D30-0.5)*2)*Curioer_Rate!$C$5),
     I30 ="b",(Curioer_Rate!$B$6+((D30-0.5)*2)*Curioer_Rate!$C$6),
     I30="c",(Curioer_Rate!$B$7+((D30-0.5)*2)*Curioer_Rate!$C$7),
     I30="d",(Curioer_Rate!$B$8+((D30-0.5)*2)*Curioer_Rate!$C$8),
     I30="e",(Curioer_Rate!$B$9+((D30-0.5)*2)*Curioer_Rate!$C$9))</f>
        <v>89.6</v>
      </c>
      <c r="N30" s="7" t="str">
        <f>VLOOKUP(A30,Courier_compnay_invoice!B:H,7,0)</f>
        <v>151.1</v>
      </c>
      <c r="O30" s="7">
        <f t="shared" si="5"/>
        <v>-61.5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8" t="s">
        <v>73</v>
      </c>
      <c r="B31" s="8" t="s">
        <v>74</v>
      </c>
      <c r="C31" s="9">
        <f>SUMIF('Company X - order Report'!$A:$A,A31,'Company X - order Report'!$E:$E)</f>
        <v>0.672</v>
      </c>
      <c r="D31" s="10">
        <f t="shared" si="1"/>
        <v>1</v>
      </c>
      <c r="E31" s="10">
        <f t="shared" si="2"/>
        <v>1</v>
      </c>
      <c r="F31" s="10">
        <f t="shared" si="3"/>
        <v>1</v>
      </c>
      <c r="G31" s="10" t="str">
        <f>VLOOKUP(A31,Courier_compnay_invoice!B:C,2,0)</f>
        <v>0.7</v>
      </c>
      <c r="H31" s="8">
        <f t="shared" si="4"/>
        <v>1</v>
      </c>
      <c r="I31" s="10" t="str">
        <f>VLOOKUP(A31,'Company X - Pincode Zones'!A:D,4,0)</f>
        <v>d</v>
      </c>
      <c r="J31" s="10" t="str">
        <f>VLOOKUP(I31,'Company X - Pincode Zones'!D:E,2,0)</f>
        <v>Forward charges</v>
      </c>
      <c r="K31" s="10" t="str">
        <f t="shared" si="6"/>
        <v>fwd_d</v>
      </c>
      <c r="L31" s="10" t="str">
        <f>VLOOKUP(A31,Courier_compnay_invoice!B:F,5,0)</f>
        <v>d</v>
      </c>
      <c r="M31" s="7">
        <f>IFS(I31="a",(Curioer_Rate!$B$5+((D31-0.5)*2)*Curioer_Rate!$C$5),
     I31 ="b",(Curioer_Rate!$B$6+((D31-0.5)*2)*Curioer_Rate!$C$6),
     I31="c",(Curioer_Rate!$B$7+((D31-0.5)*2)*Curioer_Rate!$C$7),
     I31="d",(Curioer_Rate!$B$8+((D31-0.5)*2)*Curioer_Rate!$C$8),
     I31="e",(Curioer_Rate!$B$9+((D31-0.5)*2)*Curioer_Rate!$C$9))</f>
        <v>90.2</v>
      </c>
      <c r="N31" s="7" t="str">
        <f>VLOOKUP(A31,Courier_compnay_invoice!B:H,7,0)</f>
        <v>172.8</v>
      </c>
      <c r="O31" s="7">
        <f t="shared" si="5"/>
        <v>-82.6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8" t="s">
        <v>75</v>
      </c>
      <c r="B32" s="8" t="s">
        <v>76</v>
      </c>
      <c r="C32" s="9">
        <f>SUMIF('Company X - order Report'!$A:$A,A32,'Company X - order Report'!$E:$E)</f>
        <v>1.557</v>
      </c>
      <c r="D32" s="10">
        <f t="shared" si="1"/>
        <v>2</v>
      </c>
      <c r="E32" s="10">
        <f t="shared" si="2"/>
        <v>1</v>
      </c>
      <c r="F32" s="10">
        <f t="shared" si="3"/>
        <v>3</v>
      </c>
      <c r="G32" s="10" t="str">
        <f>VLOOKUP(A32,Courier_compnay_invoice!B:C,2,0)</f>
        <v>1.6</v>
      </c>
      <c r="H32" s="8">
        <f t="shared" si="4"/>
        <v>2</v>
      </c>
      <c r="I32" s="10" t="str">
        <f>VLOOKUP(A32,'Company X - Pincode Zones'!A:D,4,0)</f>
        <v>d</v>
      </c>
      <c r="J32" s="10" t="str">
        <f>VLOOKUP(I32,'Company X - Pincode Zones'!D:E,2,0)</f>
        <v>Forward charges</v>
      </c>
      <c r="K32" s="10" t="str">
        <f t="shared" si="6"/>
        <v>fwd_d</v>
      </c>
      <c r="L32" s="10" t="str">
        <f>VLOOKUP(A32,Courier_compnay_invoice!B:F,5,0)</f>
        <v>d</v>
      </c>
      <c r="M32" s="7">
        <f>IFS(I32="a",(Curioer_Rate!$B$5+((D32-0.5)*2)*Curioer_Rate!$C$5),
     I32 ="b",(Curioer_Rate!$B$6+((D32-0.5)*2)*Curioer_Rate!$C$6),
     I32="c",(Curioer_Rate!$B$7+((D32-0.5)*2)*Curioer_Rate!$C$7),
     I32="d",(Curioer_Rate!$B$8+((D32-0.5)*2)*Curioer_Rate!$C$8),
     I32="e",(Curioer_Rate!$B$9+((D32-0.5)*2)*Curioer_Rate!$C$9))</f>
        <v>179.8</v>
      </c>
      <c r="N32" s="7" t="str">
        <f>VLOOKUP(A32,Courier_compnay_invoice!B:H,7,0)</f>
        <v>345</v>
      </c>
      <c r="O32" s="7">
        <f t="shared" si="5"/>
        <v>-165.2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8" t="s">
        <v>77</v>
      </c>
      <c r="B33" s="8" t="s">
        <v>78</v>
      </c>
      <c r="C33" s="9">
        <f>SUMIF('Company X - order Report'!$A:$A,A33,'Company X - order Report'!$E:$E)</f>
        <v>1.032</v>
      </c>
      <c r="D33" s="10">
        <f t="shared" si="1"/>
        <v>1.5</v>
      </c>
      <c r="E33" s="10">
        <f t="shared" si="2"/>
        <v>1</v>
      </c>
      <c r="F33" s="10">
        <f t="shared" si="3"/>
        <v>2</v>
      </c>
      <c r="G33" s="10" t="str">
        <f>VLOOKUP(A33,Courier_compnay_invoice!B:C,2,0)</f>
        <v>1.13</v>
      </c>
      <c r="H33" s="8">
        <f t="shared" si="4"/>
        <v>1.5</v>
      </c>
      <c r="I33" s="10" t="str">
        <f>VLOOKUP(A33,'Company X - Pincode Zones'!A:D,4,0)</f>
        <v>d</v>
      </c>
      <c r="J33" s="10" t="str">
        <f>VLOOKUP(I33,'Company X - Pincode Zones'!D:E,2,0)</f>
        <v>Forward charges</v>
      </c>
      <c r="K33" s="10" t="str">
        <f t="shared" si="6"/>
        <v>fwd_d</v>
      </c>
      <c r="L33" s="10" t="str">
        <f>VLOOKUP(A33,Courier_compnay_invoice!B:F,5,0)</f>
        <v>d</v>
      </c>
      <c r="M33" s="7">
        <f>IFS(I33="a",(Curioer_Rate!$B$5+((D33-0.5)*2)*Curioer_Rate!$C$5),
     I33 ="b",(Curioer_Rate!$B$6+((D33-0.5)*2)*Curioer_Rate!$C$6),
     I33="c",(Curioer_Rate!$B$7+((D33-0.5)*2)*Curioer_Rate!$C$7),
     I33="d",(Curioer_Rate!$B$8+((D33-0.5)*2)*Curioer_Rate!$C$8),
     I33="e",(Curioer_Rate!$B$9+((D33-0.5)*2)*Curioer_Rate!$C$9))</f>
        <v>135</v>
      </c>
      <c r="N33" s="7" t="str">
        <f>VLOOKUP(A33,Courier_compnay_invoice!B:H,7,0)</f>
        <v>258.9</v>
      </c>
      <c r="O33" s="7">
        <f t="shared" si="5"/>
        <v>-123.9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8" t="s">
        <v>79</v>
      </c>
      <c r="B34" s="8" t="s">
        <v>80</v>
      </c>
      <c r="C34" s="9">
        <f>SUMIF('Company X - order Report'!$A:$A,A34,'Company X - order Report'!$E:$E)</f>
        <v>0.63</v>
      </c>
      <c r="D34" s="10">
        <f t="shared" si="1"/>
        <v>1</v>
      </c>
      <c r="E34" s="10">
        <f t="shared" si="2"/>
        <v>1</v>
      </c>
      <c r="F34" s="10">
        <f t="shared" si="3"/>
        <v>1</v>
      </c>
      <c r="G34" s="10" t="str">
        <f>VLOOKUP(A34,Courier_compnay_invoice!B:C,2,0)</f>
        <v>0.6</v>
      </c>
      <c r="H34" s="8">
        <f t="shared" si="4"/>
        <v>1</v>
      </c>
      <c r="I34" s="10" t="str">
        <f>VLOOKUP(A34,'Company X - Pincode Zones'!A:D,4,0)</f>
        <v>d</v>
      </c>
      <c r="J34" s="10" t="str">
        <f>VLOOKUP(I34,'Company X - Pincode Zones'!D:E,2,0)</f>
        <v>Forward charges</v>
      </c>
      <c r="K34" s="10" t="str">
        <f t="shared" si="6"/>
        <v>fwd_d</v>
      </c>
      <c r="L34" s="10" t="str">
        <f>VLOOKUP(A34,Courier_compnay_invoice!B:F,5,0)</f>
        <v>d</v>
      </c>
      <c r="M34" s="7">
        <f>IFS(I34="a",(Curioer_Rate!$B$5+((D34-0.5)*2)*Curioer_Rate!$C$5),
     I34 ="b",(Curioer_Rate!$B$6+((D34-0.5)*2)*Curioer_Rate!$C$6),
     I34="c",(Curioer_Rate!$B$7+((D34-0.5)*2)*Curioer_Rate!$C$7),
     I34="d",(Curioer_Rate!$B$8+((D34-0.5)*2)*Curioer_Rate!$C$8),
     I34="e",(Curioer_Rate!$B$9+((D34-0.5)*2)*Curioer_Rate!$C$9))</f>
        <v>90.2</v>
      </c>
      <c r="N34" s="7" t="str">
        <f>VLOOKUP(A34,Courier_compnay_invoice!B:H,7,0)</f>
        <v>172.8</v>
      </c>
      <c r="O34" s="7">
        <f t="shared" si="5"/>
        <v>-82.6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8" t="s">
        <v>81</v>
      </c>
      <c r="B35" s="8" t="s">
        <v>82</v>
      </c>
      <c r="C35" s="9">
        <f>SUMIF('Company X - order Report'!$A:$A,A35,'Company X - order Report'!$E:$E)</f>
        <v>0.22</v>
      </c>
      <c r="D35" s="10">
        <f t="shared" si="1"/>
        <v>0.5</v>
      </c>
      <c r="E35" s="10">
        <f t="shared" si="2"/>
        <v>1</v>
      </c>
      <c r="F35" s="10">
        <f t="shared" si="3"/>
        <v>0</v>
      </c>
      <c r="G35" s="10" t="str">
        <f>VLOOKUP(A35,Courier_compnay_invoice!B:C,2,0)</f>
        <v>2.92</v>
      </c>
      <c r="H35" s="8">
        <f t="shared" si="4"/>
        <v>3</v>
      </c>
      <c r="I35" s="10" t="str">
        <f>VLOOKUP(A35,'Company X - Pincode Zones'!A:D,4,0)</f>
        <v>b</v>
      </c>
      <c r="J35" s="10" t="str">
        <f>VLOOKUP(I35,'Company X - Pincode Zones'!D:E,2,0)</f>
        <v>Forward charges</v>
      </c>
      <c r="K35" s="10" t="str">
        <f t="shared" si="6"/>
        <v>NA</v>
      </c>
      <c r="L35" s="10" t="str">
        <f>VLOOKUP(A35,Courier_compnay_invoice!B:F,5,0)</f>
        <v>b</v>
      </c>
      <c r="M35" s="7">
        <f>IFS(I35="a",(Curioer_Rate!$B$5+((D35-0.5)*2)*Curioer_Rate!$C$5),
     I35 ="b",(Curioer_Rate!$B$6+((D35-0.5)*2)*Curioer_Rate!$C$6),
     I35="c",(Curioer_Rate!$B$7+((D35-0.5)*2)*Curioer_Rate!$C$7),
     I35="d",(Curioer_Rate!$B$8+((D35-0.5)*2)*Curioer_Rate!$C$8),
     I35="e",(Curioer_Rate!$B$9+((D35-0.5)*2)*Curioer_Rate!$C$9))</f>
        <v>33</v>
      </c>
      <c r="N35" s="7" t="str">
        <f>VLOOKUP(A35,Courier_compnay_invoice!B:H,7,0)</f>
        <v>174.5</v>
      </c>
      <c r="O35" s="7">
        <f t="shared" si="5"/>
        <v>-141.5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8" t="s">
        <v>83</v>
      </c>
      <c r="B36" s="8" t="s">
        <v>84</v>
      </c>
      <c r="C36" s="9">
        <f>SUMIF('Company X - order Report'!$A:$A,A36,'Company X - order Report'!$E:$E)</f>
        <v>0.48</v>
      </c>
      <c r="D36" s="10">
        <f t="shared" si="1"/>
        <v>0.5</v>
      </c>
      <c r="E36" s="10">
        <f t="shared" si="2"/>
        <v>1</v>
      </c>
      <c r="F36" s="10">
        <f t="shared" si="3"/>
        <v>0</v>
      </c>
      <c r="G36" s="10" t="str">
        <f>VLOOKUP(A36,Courier_compnay_invoice!B:C,2,0)</f>
        <v>0.68</v>
      </c>
      <c r="H36" s="8">
        <f t="shared" si="4"/>
        <v>1</v>
      </c>
      <c r="I36" s="10" t="str">
        <f>VLOOKUP(A36,'Company X - Pincode Zones'!A:D,4,0)</f>
        <v>d</v>
      </c>
      <c r="J36" s="10" t="str">
        <f>VLOOKUP(I36,'Company X - Pincode Zones'!D:E,2,0)</f>
        <v>Forward charges</v>
      </c>
      <c r="K36" s="10" t="str">
        <f t="shared" si="6"/>
        <v>fwd_d</v>
      </c>
      <c r="L36" s="10" t="str">
        <f>VLOOKUP(A36,Courier_compnay_invoice!B:F,5,0)</f>
        <v>d</v>
      </c>
      <c r="M36" s="7">
        <f>IFS(I36="a",(Curioer_Rate!$B$5+((D36-0.5)*2)*Curioer_Rate!$C$5),
     I36 ="b",(Curioer_Rate!$B$6+((D36-0.5)*2)*Curioer_Rate!$C$6),
     I36="c",(Curioer_Rate!$B$7+((D36-0.5)*2)*Curioer_Rate!$C$7),
     I36="d",(Curioer_Rate!$B$8+((D36-0.5)*2)*Curioer_Rate!$C$8),
     I36="e",(Curioer_Rate!$B$9+((D36-0.5)*2)*Curioer_Rate!$C$9))</f>
        <v>45.4</v>
      </c>
      <c r="N36" s="7" t="str">
        <f>VLOOKUP(A36,Courier_compnay_invoice!B:H,7,0)</f>
        <v>90.2</v>
      </c>
      <c r="O36" s="7">
        <f t="shared" si="5"/>
        <v>-44.8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8" t="s">
        <v>85</v>
      </c>
      <c r="B37" s="8" t="s">
        <v>86</v>
      </c>
      <c r="C37" s="9">
        <f>SUMIF('Company X - order Report'!$A:$A,A37,'Company X - order Report'!$E:$E)</f>
        <v>0.5</v>
      </c>
      <c r="D37" s="10">
        <f t="shared" si="1"/>
        <v>0.5</v>
      </c>
      <c r="E37" s="10">
        <f t="shared" si="2"/>
        <v>1</v>
      </c>
      <c r="F37" s="10">
        <f t="shared" si="3"/>
        <v>0</v>
      </c>
      <c r="G37" s="10" t="str">
        <f>VLOOKUP(A37,Courier_compnay_invoice!B:C,2,0)</f>
        <v>0.71</v>
      </c>
      <c r="H37" s="8">
        <f t="shared" si="4"/>
        <v>1</v>
      </c>
      <c r="I37" s="10" t="str">
        <f>VLOOKUP(A37,'Company X - Pincode Zones'!A:D,4,0)</f>
        <v>d</v>
      </c>
      <c r="J37" s="10" t="str">
        <f>VLOOKUP(I37,'Company X - Pincode Zones'!D:E,2,0)</f>
        <v>Forward charges</v>
      </c>
      <c r="K37" s="10" t="str">
        <f t="shared" si="6"/>
        <v>fwd_d</v>
      </c>
      <c r="L37" s="10" t="str">
        <f>VLOOKUP(A37,Courier_compnay_invoice!B:F,5,0)</f>
        <v>d</v>
      </c>
      <c r="M37" s="7">
        <f>IFS(I37="a",(Curioer_Rate!$B$5+((D37-0.5)*2)*Curioer_Rate!$C$5),
     I37 ="b",(Curioer_Rate!$B$6+((D37-0.5)*2)*Curioer_Rate!$C$6),
     I37="c",(Curioer_Rate!$B$7+((D37-0.5)*2)*Curioer_Rate!$C$7),
     I37="d",(Curioer_Rate!$B$8+((D37-0.5)*2)*Curioer_Rate!$C$8),
     I37="e",(Curioer_Rate!$B$9+((D37-0.5)*2)*Curioer_Rate!$C$9))</f>
        <v>45.4</v>
      </c>
      <c r="N37" s="7" t="str">
        <f>VLOOKUP(A37,Courier_compnay_invoice!B:H,7,0)</f>
        <v>90.2</v>
      </c>
      <c r="O37" s="7">
        <f t="shared" si="5"/>
        <v>-44.8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8" t="s">
        <v>87</v>
      </c>
      <c r="B38" s="8" t="s">
        <v>88</v>
      </c>
      <c r="C38" s="9">
        <f>SUMIF('Company X - order Report'!$A:$A,A38,'Company X - order Report'!$E:$E)</f>
        <v>0.245</v>
      </c>
      <c r="D38" s="10">
        <f t="shared" si="1"/>
        <v>0.5</v>
      </c>
      <c r="E38" s="10">
        <f t="shared" si="2"/>
        <v>1</v>
      </c>
      <c r="F38" s="10">
        <f t="shared" si="3"/>
        <v>0</v>
      </c>
      <c r="G38" s="10" t="str">
        <f>VLOOKUP(A38,Courier_compnay_invoice!B:C,2,0)</f>
        <v>0.78</v>
      </c>
      <c r="H38" s="8">
        <f t="shared" si="4"/>
        <v>1</v>
      </c>
      <c r="I38" s="10" t="str">
        <f>VLOOKUP(A38,'Company X - Pincode Zones'!A:D,4,0)</f>
        <v>b</v>
      </c>
      <c r="J38" s="10" t="str">
        <f>VLOOKUP(I38,'Company X - Pincode Zones'!D:E,2,0)</f>
        <v>Forward charges</v>
      </c>
      <c r="K38" s="10" t="str">
        <f t="shared" si="6"/>
        <v>NA</v>
      </c>
      <c r="L38" s="10" t="str">
        <f>VLOOKUP(A38,Courier_compnay_invoice!B:F,5,0)</f>
        <v>b</v>
      </c>
      <c r="M38" s="7">
        <f>IFS(I38="a",(Curioer_Rate!$B$5+((D38-0.5)*2)*Curioer_Rate!$C$5),
     I38 ="b",(Curioer_Rate!$B$6+((D38-0.5)*2)*Curioer_Rate!$C$6),
     I38="c",(Curioer_Rate!$B$7+((D38-0.5)*2)*Curioer_Rate!$C$7),
     I38="d",(Curioer_Rate!$B$8+((D38-0.5)*2)*Curioer_Rate!$C$8),
     I38="e",(Curioer_Rate!$B$9+((D38-0.5)*2)*Curioer_Rate!$C$9))</f>
        <v>33</v>
      </c>
      <c r="N38" s="7" t="str">
        <f>VLOOKUP(A38,Courier_compnay_invoice!B:H,7,0)</f>
        <v>61.3</v>
      </c>
      <c r="O38" s="7">
        <f t="shared" si="5"/>
        <v>-28.3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8" t="s">
        <v>89</v>
      </c>
      <c r="B39" s="8" t="s">
        <v>90</v>
      </c>
      <c r="C39" s="9">
        <f>SUMIF('Company X - order Report'!$A:$A,A39,'Company X - order Report'!$E:$E)</f>
        <v>0.245</v>
      </c>
      <c r="D39" s="10">
        <f t="shared" si="1"/>
        <v>0.5</v>
      </c>
      <c r="E39" s="10">
        <f t="shared" si="2"/>
        <v>1</v>
      </c>
      <c r="F39" s="10">
        <f t="shared" si="3"/>
        <v>0</v>
      </c>
      <c r="G39" s="10" t="str">
        <f>VLOOKUP(A39,Courier_compnay_invoice!B:C,2,0)</f>
        <v>1.27</v>
      </c>
      <c r="H39" s="8">
        <f t="shared" si="4"/>
        <v>1.5</v>
      </c>
      <c r="I39" s="10" t="str">
        <f>VLOOKUP(A39,'Company X - Pincode Zones'!A:D,4,0)</f>
        <v>d</v>
      </c>
      <c r="J39" s="10" t="str">
        <f>VLOOKUP(I39,'Company X - Pincode Zones'!D:E,2,0)</f>
        <v>Forward charges</v>
      </c>
      <c r="K39" s="10" t="str">
        <f t="shared" si="6"/>
        <v>fwd_d</v>
      </c>
      <c r="L39" s="10" t="str">
        <f>VLOOKUP(A39,Courier_compnay_invoice!B:F,5,0)</f>
        <v>d</v>
      </c>
      <c r="M39" s="7">
        <f>IFS(I39="a",(Curioer_Rate!$B$5+((D39-0.5)*2)*Curioer_Rate!$C$5),
     I39 ="b",(Curioer_Rate!$B$6+((D39-0.5)*2)*Curioer_Rate!$C$6),
     I39="c",(Curioer_Rate!$B$7+((D39-0.5)*2)*Curioer_Rate!$C$7),
     I39="d",(Curioer_Rate!$B$8+((D39-0.5)*2)*Curioer_Rate!$C$8),
     I39="e",(Curioer_Rate!$B$9+((D39-0.5)*2)*Curioer_Rate!$C$9))</f>
        <v>45.4</v>
      </c>
      <c r="N39" s="7" t="str">
        <f>VLOOKUP(A39,Courier_compnay_invoice!B:H,7,0)</f>
        <v>135</v>
      </c>
      <c r="O39" s="7">
        <f t="shared" si="5"/>
        <v>-89.6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8" t="s">
        <v>91</v>
      </c>
      <c r="B40" s="8" t="s">
        <v>92</v>
      </c>
      <c r="C40" s="9">
        <f>SUMIF('Company X - order Report'!$A:$A,A40,'Company X - order Report'!$E:$E)</f>
        <v>0.5</v>
      </c>
      <c r="D40" s="10">
        <f t="shared" si="1"/>
        <v>0.5</v>
      </c>
      <c r="E40" s="10">
        <f t="shared" si="2"/>
        <v>1</v>
      </c>
      <c r="F40" s="10">
        <f t="shared" si="3"/>
        <v>0</v>
      </c>
      <c r="G40" s="10" t="str">
        <f>VLOOKUP(A40,Courier_compnay_invoice!B:C,2,0)</f>
        <v>0.7</v>
      </c>
      <c r="H40" s="8">
        <f t="shared" si="4"/>
        <v>1</v>
      </c>
      <c r="I40" s="10" t="str">
        <f>VLOOKUP(A40,'Company X - Pincode Zones'!A:D,4,0)</f>
        <v>d</v>
      </c>
      <c r="J40" s="10" t="str">
        <f>VLOOKUP(I40,'Company X - Pincode Zones'!D:E,2,0)</f>
        <v>Forward charges</v>
      </c>
      <c r="K40" s="10" t="str">
        <f t="shared" si="6"/>
        <v>fwd_d</v>
      </c>
      <c r="L40" s="10" t="str">
        <f>VLOOKUP(A40,Courier_compnay_invoice!B:F,5,0)</f>
        <v>d</v>
      </c>
      <c r="M40" s="7">
        <f>IFS(I40="a",(Curioer_Rate!$B$5+((D40-0.5)*2)*Curioer_Rate!$C$5),
     I40 ="b",(Curioer_Rate!$B$6+((D40-0.5)*2)*Curioer_Rate!$C$6),
     I40="c",(Curioer_Rate!$B$7+((D40-0.5)*2)*Curioer_Rate!$C$7),
     I40="d",(Curioer_Rate!$B$8+((D40-0.5)*2)*Curioer_Rate!$C$8),
     I40="e",(Curioer_Rate!$B$9+((D40-0.5)*2)*Curioer_Rate!$C$9))</f>
        <v>45.4</v>
      </c>
      <c r="N40" s="7" t="str">
        <f>VLOOKUP(A40,Courier_compnay_invoice!B:H,7,0)</f>
        <v>90.2</v>
      </c>
      <c r="O40" s="7">
        <f t="shared" si="5"/>
        <v>-44.8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8" t="s">
        <v>93</v>
      </c>
      <c r="B41" s="8" t="s">
        <v>94</v>
      </c>
      <c r="C41" s="9">
        <f>SUMIF('Company X - order Report'!$A:$A,A41,'Company X - order Report'!$E:$E)</f>
        <v>0.5</v>
      </c>
      <c r="D41" s="10">
        <f t="shared" si="1"/>
        <v>0.5</v>
      </c>
      <c r="E41" s="10">
        <f t="shared" si="2"/>
        <v>1</v>
      </c>
      <c r="F41" s="10">
        <f t="shared" si="3"/>
        <v>0</v>
      </c>
      <c r="G41" s="10" t="str">
        <f>VLOOKUP(A41,Courier_compnay_invoice!B:C,2,0)</f>
        <v>0.69</v>
      </c>
      <c r="H41" s="8">
        <f t="shared" si="4"/>
        <v>1</v>
      </c>
      <c r="I41" s="10" t="str">
        <f>VLOOKUP(A41,'Company X - Pincode Zones'!A:D,4,0)</f>
        <v>d</v>
      </c>
      <c r="J41" s="10" t="str">
        <f>VLOOKUP(I41,'Company X - Pincode Zones'!D:E,2,0)</f>
        <v>Forward charges</v>
      </c>
      <c r="K41" s="10" t="str">
        <f t="shared" si="6"/>
        <v>fwd_d</v>
      </c>
      <c r="L41" s="10" t="str">
        <f>VLOOKUP(A41,Courier_compnay_invoice!B:F,5,0)</f>
        <v>d</v>
      </c>
      <c r="M41" s="7">
        <f>IFS(I41="a",(Curioer_Rate!$B$5+((D41-0.5)*2)*Curioer_Rate!$C$5),
     I41 ="b",(Curioer_Rate!$B$6+((D41-0.5)*2)*Curioer_Rate!$C$6),
     I41="c",(Curioer_Rate!$B$7+((D41-0.5)*2)*Curioer_Rate!$C$7),
     I41="d",(Curioer_Rate!$B$8+((D41-0.5)*2)*Curioer_Rate!$C$8),
     I41="e",(Curioer_Rate!$B$9+((D41-0.5)*2)*Curioer_Rate!$C$9))</f>
        <v>45.4</v>
      </c>
      <c r="N41" s="7" t="str">
        <f>VLOOKUP(A41,Courier_compnay_invoice!B:H,7,0)</f>
        <v>90.2</v>
      </c>
      <c r="O41" s="7">
        <f t="shared" si="5"/>
        <v>-44.8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8" t="s">
        <v>95</v>
      </c>
      <c r="B42" s="8" t="s">
        <v>96</v>
      </c>
      <c r="C42" s="9">
        <f>SUMIF('Company X - order Report'!$A:$A,A42,'Company X - order Report'!$E:$E)</f>
        <v>0.5</v>
      </c>
      <c r="D42" s="10">
        <f t="shared" si="1"/>
        <v>0.5</v>
      </c>
      <c r="E42" s="10">
        <f t="shared" si="2"/>
        <v>1</v>
      </c>
      <c r="F42" s="10">
        <f t="shared" si="3"/>
        <v>0</v>
      </c>
      <c r="G42" s="10" t="str">
        <f>VLOOKUP(A42,Courier_compnay_invoice!B:C,2,0)</f>
        <v>0.68</v>
      </c>
      <c r="H42" s="8">
        <f t="shared" si="4"/>
        <v>1</v>
      </c>
      <c r="I42" s="10" t="str">
        <f>VLOOKUP(A42,'Company X - Pincode Zones'!A:D,4,0)</f>
        <v>d</v>
      </c>
      <c r="J42" s="10" t="str">
        <f>VLOOKUP(I42,'Company X - Pincode Zones'!D:E,2,0)</f>
        <v>Forward charges</v>
      </c>
      <c r="K42" s="10" t="str">
        <f t="shared" si="6"/>
        <v>fwd_d</v>
      </c>
      <c r="L42" s="10" t="str">
        <f>VLOOKUP(A42,Courier_compnay_invoice!B:F,5,0)</f>
        <v>d</v>
      </c>
      <c r="M42" s="7">
        <f>IFS(I42="a",(Curioer_Rate!$B$5+((D42-0.5)*2)*Curioer_Rate!$C$5),
     I42 ="b",(Curioer_Rate!$B$6+((D42-0.5)*2)*Curioer_Rate!$C$6),
     I42="c",(Curioer_Rate!$B$7+((D42-0.5)*2)*Curioer_Rate!$C$7),
     I42="d",(Curioer_Rate!$B$8+((D42-0.5)*2)*Curioer_Rate!$C$8),
     I42="e",(Curioer_Rate!$B$9+((D42-0.5)*2)*Curioer_Rate!$C$9))</f>
        <v>45.4</v>
      </c>
      <c r="N42" s="7" t="str">
        <f>VLOOKUP(A42,Courier_compnay_invoice!B:H,7,0)</f>
        <v>90.2</v>
      </c>
      <c r="O42" s="7">
        <f t="shared" si="5"/>
        <v>-44.8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8" t="s">
        <v>97</v>
      </c>
      <c r="B43" s="8" t="s">
        <v>98</v>
      </c>
      <c r="C43" s="9">
        <f>SUMIF('Company X - order Report'!$A:$A,A43,'Company X - order Report'!$E:$E)</f>
        <v>0.127</v>
      </c>
      <c r="D43" s="10">
        <f t="shared" si="1"/>
        <v>0.5</v>
      </c>
      <c r="E43" s="10">
        <f t="shared" si="2"/>
        <v>1</v>
      </c>
      <c r="F43" s="10">
        <f t="shared" si="3"/>
        <v>0</v>
      </c>
      <c r="G43" s="10" t="str">
        <f>VLOOKUP(A43,Courier_compnay_invoice!B:C,2,0)</f>
        <v>1</v>
      </c>
      <c r="H43" s="8">
        <f t="shared" si="4"/>
        <v>1</v>
      </c>
      <c r="I43" s="10" t="str">
        <f>VLOOKUP(A43,'Company X - Pincode Zones'!A:D,4,0)</f>
        <v>b</v>
      </c>
      <c r="J43" s="10" t="str">
        <f>VLOOKUP(I43,'Company X - Pincode Zones'!D:E,2,0)</f>
        <v>Forward charges</v>
      </c>
      <c r="K43" s="10" t="str">
        <f t="shared" si="6"/>
        <v>NA</v>
      </c>
      <c r="L43" s="10" t="str">
        <f>VLOOKUP(A43,Courier_compnay_invoice!B:F,5,0)</f>
        <v>b</v>
      </c>
      <c r="M43" s="7">
        <f>IFS(I43="a",(Curioer_Rate!$B$5+((D43-0.5)*2)*Curioer_Rate!$C$5),
     I43 ="b",(Curioer_Rate!$B$6+((D43-0.5)*2)*Curioer_Rate!$C$6),
     I43="c",(Curioer_Rate!$B$7+((D43-0.5)*2)*Curioer_Rate!$C$7),
     I43="d",(Curioer_Rate!$B$8+((D43-0.5)*2)*Curioer_Rate!$C$8),
     I43="e",(Curioer_Rate!$B$9+((D43-0.5)*2)*Curioer_Rate!$C$9))</f>
        <v>33</v>
      </c>
      <c r="N43" s="7" t="str">
        <f>VLOOKUP(A43,Courier_compnay_invoice!B:H,7,0)</f>
        <v>61.3</v>
      </c>
      <c r="O43" s="7">
        <f t="shared" si="5"/>
        <v>-28.3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8" t="s">
        <v>99</v>
      </c>
      <c r="B44" s="8" t="s">
        <v>100</v>
      </c>
      <c r="C44" s="9">
        <f>SUMIF('Company X - order Report'!$A:$A,A44,'Company X - order Report'!$E:$E)</f>
        <v>0.952</v>
      </c>
      <c r="D44" s="10">
        <f t="shared" si="1"/>
        <v>1</v>
      </c>
      <c r="E44" s="10">
        <f t="shared" si="2"/>
        <v>1</v>
      </c>
      <c r="F44" s="10">
        <f t="shared" si="3"/>
        <v>1</v>
      </c>
      <c r="G44" s="10" t="str">
        <f>VLOOKUP(A44,Courier_compnay_invoice!B:C,2,0)</f>
        <v>1.16</v>
      </c>
      <c r="H44" s="8">
        <f t="shared" si="4"/>
        <v>1.5</v>
      </c>
      <c r="I44" s="10" t="str">
        <f>VLOOKUP(A44,'Company X - Pincode Zones'!A:D,4,0)</f>
        <v>d</v>
      </c>
      <c r="J44" s="10" t="str">
        <f>VLOOKUP(I44,'Company X - Pincode Zones'!D:E,2,0)</f>
        <v>Forward charges</v>
      </c>
      <c r="K44" s="10" t="str">
        <f t="shared" si="6"/>
        <v>fwd_d</v>
      </c>
      <c r="L44" s="10" t="str">
        <f>VLOOKUP(A44,Courier_compnay_invoice!B:F,5,0)</f>
        <v>d</v>
      </c>
      <c r="M44" s="7">
        <f>IFS(I44="a",(Curioer_Rate!$B$5+((D44-0.5)*2)*Curioer_Rate!$C$5),
     I44 ="b",(Curioer_Rate!$B$6+((D44-0.5)*2)*Curioer_Rate!$C$6),
     I44="c",(Curioer_Rate!$B$7+((D44-0.5)*2)*Curioer_Rate!$C$7),
     I44="d",(Curioer_Rate!$B$8+((D44-0.5)*2)*Curioer_Rate!$C$8),
     I44="e",(Curioer_Rate!$B$9+((D44-0.5)*2)*Curioer_Rate!$C$9))</f>
        <v>90.2</v>
      </c>
      <c r="N44" s="7" t="str">
        <f>VLOOKUP(A44,Courier_compnay_invoice!B:H,7,0)</f>
        <v>135</v>
      </c>
      <c r="O44" s="7">
        <f t="shared" si="5"/>
        <v>-44.8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8" t="s">
        <v>101</v>
      </c>
      <c r="B45" s="8" t="s">
        <v>102</v>
      </c>
      <c r="C45" s="9">
        <f>SUMIF('Company X - order Report'!$A:$A,A45,'Company X - order Report'!$E:$E)</f>
        <v>0.5</v>
      </c>
      <c r="D45" s="10">
        <f t="shared" si="1"/>
        <v>0.5</v>
      </c>
      <c r="E45" s="10">
        <f t="shared" si="2"/>
        <v>1</v>
      </c>
      <c r="F45" s="10">
        <f t="shared" si="3"/>
        <v>0</v>
      </c>
      <c r="G45" s="10" t="str">
        <f>VLOOKUP(A45,Courier_compnay_invoice!B:C,2,0)</f>
        <v>0.68</v>
      </c>
      <c r="H45" s="8">
        <f t="shared" si="4"/>
        <v>1</v>
      </c>
      <c r="I45" s="10" t="str">
        <f>VLOOKUP(A45,'Company X - Pincode Zones'!A:D,4,0)</f>
        <v>b</v>
      </c>
      <c r="J45" s="10" t="str">
        <f>VLOOKUP(I45,'Company X - Pincode Zones'!D:E,2,0)</f>
        <v>Forward charges</v>
      </c>
      <c r="K45" s="10" t="str">
        <f t="shared" si="6"/>
        <v>NA</v>
      </c>
      <c r="L45" s="10" t="str">
        <f>VLOOKUP(A45,Courier_compnay_invoice!B:F,5,0)</f>
        <v>b</v>
      </c>
      <c r="M45" s="7">
        <f>IFS(I45="a",(Curioer_Rate!$B$5+((D45-0.5)*2)*Curioer_Rate!$C$5),
     I45 ="b",(Curioer_Rate!$B$6+((D45-0.5)*2)*Curioer_Rate!$C$6),
     I45="c",(Curioer_Rate!$B$7+((D45-0.5)*2)*Curioer_Rate!$C$7),
     I45="d",(Curioer_Rate!$B$8+((D45-0.5)*2)*Curioer_Rate!$C$8),
     I45="e",(Curioer_Rate!$B$9+((D45-0.5)*2)*Curioer_Rate!$C$9))</f>
        <v>33</v>
      </c>
      <c r="N45" s="7" t="str">
        <f>VLOOKUP(A45,Courier_compnay_invoice!B:H,7,0)</f>
        <v>61.3</v>
      </c>
      <c r="O45" s="7">
        <f t="shared" si="5"/>
        <v>-28.3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8" t="s">
        <v>103</v>
      </c>
      <c r="B46" s="8" t="s">
        <v>104</v>
      </c>
      <c r="C46" s="9">
        <f>SUMIF('Company X - order Report'!$A:$A,A46,'Company X - order Report'!$E:$E)</f>
        <v>0.963</v>
      </c>
      <c r="D46" s="10">
        <f t="shared" si="1"/>
        <v>1</v>
      </c>
      <c r="E46" s="10">
        <f t="shared" si="2"/>
        <v>1</v>
      </c>
      <c r="F46" s="10">
        <f t="shared" si="3"/>
        <v>1</v>
      </c>
      <c r="G46" s="10" t="str">
        <f>VLOOKUP(A46,Courier_compnay_invoice!B:C,2,0)</f>
        <v>1.08</v>
      </c>
      <c r="H46" s="8">
        <f t="shared" si="4"/>
        <v>1.5</v>
      </c>
      <c r="I46" s="10" t="str">
        <f>VLOOKUP(A46,'Company X - Pincode Zones'!A:D,4,0)</f>
        <v>b</v>
      </c>
      <c r="J46" s="10" t="str">
        <f>VLOOKUP(I46,'Company X - Pincode Zones'!D:E,2,0)</f>
        <v>Forward charges</v>
      </c>
      <c r="K46" s="10" t="str">
        <f t="shared" si="6"/>
        <v>NA</v>
      </c>
      <c r="L46" s="10" t="str">
        <f>VLOOKUP(A46,Courier_compnay_invoice!B:F,5,0)</f>
        <v>b</v>
      </c>
      <c r="M46" s="7">
        <f>IFS(I46="a",(Curioer_Rate!$B$5+((D46-0.5)*2)*Curioer_Rate!$C$5),
     I46 ="b",(Curioer_Rate!$B$6+((D46-0.5)*2)*Curioer_Rate!$C$6),
     I46="c",(Curioer_Rate!$B$7+((D46-0.5)*2)*Curioer_Rate!$C$7),
     I46="d",(Curioer_Rate!$B$8+((D46-0.5)*2)*Curioer_Rate!$C$8),
     I46="e",(Curioer_Rate!$B$9+((D46-0.5)*2)*Curioer_Rate!$C$9))</f>
        <v>61.3</v>
      </c>
      <c r="N46" s="7" t="str">
        <f>VLOOKUP(A46,Courier_compnay_invoice!B:H,7,0)</f>
        <v>89.6</v>
      </c>
      <c r="O46" s="7">
        <f t="shared" si="5"/>
        <v>-28.3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8" t="s">
        <v>105</v>
      </c>
      <c r="B47" s="8" t="s">
        <v>106</v>
      </c>
      <c r="C47" s="9">
        <f>SUMIF('Company X - order Report'!$A:$A,A47,'Company X - order Report'!$E:$E)</f>
        <v>0.5</v>
      </c>
      <c r="D47" s="10">
        <f t="shared" si="1"/>
        <v>0.5</v>
      </c>
      <c r="E47" s="10">
        <f t="shared" si="2"/>
        <v>1</v>
      </c>
      <c r="F47" s="10">
        <f t="shared" si="3"/>
        <v>0</v>
      </c>
      <c r="G47" s="10" t="str">
        <f>VLOOKUP(A47,Courier_compnay_invoice!B:C,2,0)</f>
        <v>0.69</v>
      </c>
      <c r="H47" s="8">
        <f t="shared" si="4"/>
        <v>1</v>
      </c>
      <c r="I47" s="10" t="str">
        <f>VLOOKUP(A47,'Company X - Pincode Zones'!A:D,4,0)</f>
        <v>d</v>
      </c>
      <c r="J47" s="10" t="str">
        <f>VLOOKUP(I47,'Company X - Pincode Zones'!D:E,2,0)</f>
        <v>Forward charges</v>
      </c>
      <c r="K47" s="10" t="str">
        <f t="shared" si="6"/>
        <v>fwd_d</v>
      </c>
      <c r="L47" s="10" t="str">
        <f>VLOOKUP(A47,Courier_compnay_invoice!B:F,5,0)</f>
        <v>d</v>
      </c>
      <c r="M47" s="7">
        <f>IFS(I47="a",(Curioer_Rate!$B$5+((D47-0.5)*2)*Curioer_Rate!$C$5),
     I47 ="b",(Curioer_Rate!$B$6+((D47-0.5)*2)*Curioer_Rate!$C$6),
     I47="c",(Curioer_Rate!$B$7+((D47-0.5)*2)*Curioer_Rate!$C$7),
     I47="d",(Curioer_Rate!$B$8+((D47-0.5)*2)*Curioer_Rate!$C$8),
     I47="e",(Curioer_Rate!$B$9+((D47-0.5)*2)*Curioer_Rate!$C$9))</f>
        <v>45.4</v>
      </c>
      <c r="N47" s="7" t="str">
        <f>VLOOKUP(A47,Courier_compnay_invoice!B:H,7,0)</f>
        <v>90.2</v>
      </c>
      <c r="O47" s="7">
        <f t="shared" si="5"/>
        <v>-44.8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8" t="s">
        <v>107</v>
      </c>
      <c r="B48" s="8" t="s">
        <v>108</v>
      </c>
      <c r="C48" s="9">
        <f>SUMIF('Company X - order Report'!$A:$A,A48,'Company X - order Report'!$E:$E)</f>
        <v>0.967</v>
      </c>
      <c r="D48" s="10">
        <f t="shared" si="1"/>
        <v>1</v>
      </c>
      <c r="E48" s="10">
        <f t="shared" si="2"/>
        <v>1</v>
      </c>
      <c r="F48" s="10">
        <f t="shared" si="3"/>
        <v>1</v>
      </c>
      <c r="G48" s="10" t="str">
        <f>VLOOKUP(A48,Courier_compnay_invoice!B:C,2,0)</f>
        <v>1.13</v>
      </c>
      <c r="H48" s="8">
        <f t="shared" si="4"/>
        <v>1.5</v>
      </c>
      <c r="I48" s="10" t="str">
        <f>VLOOKUP(A48,'Company X - Pincode Zones'!A:D,4,0)</f>
        <v>d</v>
      </c>
      <c r="J48" s="10" t="str">
        <f>VLOOKUP(I48,'Company X - Pincode Zones'!D:E,2,0)</f>
        <v>Forward charges</v>
      </c>
      <c r="K48" s="10" t="str">
        <f t="shared" si="6"/>
        <v>fwd_d</v>
      </c>
      <c r="L48" s="10" t="str">
        <f>VLOOKUP(A48,Courier_compnay_invoice!B:F,5,0)</f>
        <v>d</v>
      </c>
      <c r="M48" s="7">
        <f>IFS(I48="a",(Curioer_Rate!$B$5+((D48-0.5)*2)*Curioer_Rate!$C$5),
     I48 ="b",(Curioer_Rate!$B$6+((D48-0.5)*2)*Curioer_Rate!$C$6),
     I48="c",(Curioer_Rate!$B$7+((D48-0.5)*2)*Curioer_Rate!$C$7),
     I48="d",(Curioer_Rate!$B$8+((D48-0.5)*2)*Curioer_Rate!$C$8),
     I48="e",(Curioer_Rate!$B$9+((D48-0.5)*2)*Curioer_Rate!$C$9))</f>
        <v>90.2</v>
      </c>
      <c r="N48" s="7" t="str">
        <f>VLOOKUP(A48,Courier_compnay_invoice!B:H,7,0)</f>
        <v>135</v>
      </c>
      <c r="O48" s="7">
        <f t="shared" si="5"/>
        <v>-44.8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8" t="s">
        <v>109</v>
      </c>
      <c r="B49" s="8" t="s">
        <v>110</v>
      </c>
      <c r="C49" s="9">
        <f>SUMIF('Company X - order Report'!$A:$A,A49,'Company X - order Report'!$E:$E)</f>
        <v>0.5</v>
      </c>
      <c r="D49" s="10">
        <f t="shared" si="1"/>
        <v>0.5</v>
      </c>
      <c r="E49" s="10">
        <f t="shared" si="2"/>
        <v>1</v>
      </c>
      <c r="F49" s="10">
        <f t="shared" si="3"/>
        <v>0</v>
      </c>
      <c r="G49" s="10" t="str">
        <f>VLOOKUP(A49,Courier_compnay_invoice!B:C,2,0)</f>
        <v>0.69</v>
      </c>
      <c r="H49" s="8">
        <f t="shared" si="4"/>
        <v>1</v>
      </c>
      <c r="I49" s="10" t="str">
        <f>VLOOKUP(A49,'Company X - Pincode Zones'!A:D,4,0)</f>
        <v>d</v>
      </c>
      <c r="J49" s="10" t="str">
        <f>VLOOKUP(I49,'Company X - Pincode Zones'!D:E,2,0)</f>
        <v>Forward charges</v>
      </c>
      <c r="K49" s="10" t="str">
        <f t="shared" si="6"/>
        <v>fwd_d</v>
      </c>
      <c r="L49" s="10" t="str">
        <f>VLOOKUP(A49,Courier_compnay_invoice!B:F,5,0)</f>
        <v>d</v>
      </c>
      <c r="M49" s="7">
        <f>IFS(I49="a",(Curioer_Rate!$B$5+((D49-0.5)*2)*Curioer_Rate!$C$5),
     I49 ="b",(Curioer_Rate!$B$6+((D49-0.5)*2)*Curioer_Rate!$C$6),
     I49="c",(Curioer_Rate!$B$7+((D49-0.5)*2)*Curioer_Rate!$C$7),
     I49="d",(Curioer_Rate!$B$8+((D49-0.5)*2)*Curioer_Rate!$C$8),
     I49="e",(Curioer_Rate!$B$9+((D49-0.5)*2)*Curioer_Rate!$C$9))</f>
        <v>45.4</v>
      </c>
      <c r="N49" s="7" t="str">
        <f>VLOOKUP(A49,Courier_compnay_invoice!B:H,7,0)</f>
        <v>90.2</v>
      </c>
      <c r="O49" s="7">
        <f t="shared" si="5"/>
        <v>-44.8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8" t="s">
        <v>111</v>
      </c>
      <c r="B50" s="8" t="s">
        <v>112</v>
      </c>
      <c r="C50" s="9">
        <f>SUMIF('Company X - order Report'!$A:$A,A50,'Company X - order Report'!$E:$E)</f>
        <v>0.5</v>
      </c>
      <c r="D50" s="10">
        <f t="shared" si="1"/>
        <v>0.5</v>
      </c>
      <c r="E50" s="10">
        <f t="shared" si="2"/>
        <v>1</v>
      </c>
      <c r="F50" s="10">
        <f t="shared" si="3"/>
        <v>0</v>
      </c>
      <c r="G50" s="10" t="str">
        <f>VLOOKUP(A50,Courier_compnay_invoice!B:C,2,0)</f>
        <v>0.68</v>
      </c>
      <c r="H50" s="8">
        <f t="shared" si="4"/>
        <v>1</v>
      </c>
      <c r="I50" s="10" t="str">
        <f>VLOOKUP(A50,'Company X - Pincode Zones'!A:D,4,0)</f>
        <v>d</v>
      </c>
      <c r="J50" s="10" t="str">
        <f>VLOOKUP(I50,'Company X - Pincode Zones'!D:E,2,0)</f>
        <v>Forward charges</v>
      </c>
      <c r="K50" s="10" t="str">
        <f t="shared" si="6"/>
        <v>fwd_d</v>
      </c>
      <c r="L50" s="10" t="str">
        <f>VLOOKUP(A50,Courier_compnay_invoice!B:F,5,0)</f>
        <v>d</v>
      </c>
      <c r="M50" s="7">
        <f>IFS(I50="a",(Curioer_Rate!$B$5+((D50-0.5)*2)*Curioer_Rate!$C$5),
     I50 ="b",(Curioer_Rate!$B$6+((D50-0.5)*2)*Curioer_Rate!$C$6),
     I50="c",(Curioer_Rate!$B$7+((D50-0.5)*2)*Curioer_Rate!$C$7),
     I50="d",(Curioer_Rate!$B$8+((D50-0.5)*2)*Curioer_Rate!$C$8),
     I50="e",(Curioer_Rate!$B$9+((D50-0.5)*2)*Curioer_Rate!$C$9))</f>
        <v>45.4</v>
      </c>
      <c r="N50" s="7" t="str">
        <f>VLOOKUP(A50,Courier_compnay_invoice!B:H,7,0)</f>
        <v>90.2</v>
      </c>
      <c r="O50" s="7">
        <f t="shared" si="5"/>
        <v>-44.8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8" t="s">
        <v>113</v>
      </c>
      <c r="B51" s="8" t="s">
        <v>114</v>
      </c>
      <c r="C51" s="9">
        <f>SUMIF('Company X - order Report'!$A:$A,A51,'Company X - order Report'!$E:$E)</f>
        <v>0.611</v>
      </c>
      <c r="D51" s="10">
        <f t="shared" si="1"/>
        <v>1</v>
      </c>
      <c r="E51" s="10">
        <f t="shared" si="2"/>
        <v>1</v>
      </c>
      <c r="F51" s="10">
        <f t="shared" si="3"/>
        <v>1</v>
      </c>
      <c r="G51" s="10" t="str">
        <f>VLOOKUP(A51,Courier_compnay_invoice!B:C,2,0)</f>
        <v>2.86</v>
      </c>
      <c r="H51" s="8">
        <f t="shared" si="4"/>
        <v>3</v>
      </c>
      <c r="I51" s="10" t="str">
        <f>VLOOKUP(A51,'Company X - Pincode Zones'!A:D,4,0)</f>
        <v>b</v>
      </c>
      <c r="J51" s="10" t="str">
        <f>VLOOKUP(I51,'Company X - Pincode Zones'!D:E,2,0)</f>
        <v>Forward charges</v>
      </c>
      <c r="K51" s="10" t="str">
        <f t="shared" si="6"/>
        <v>NA</v>
      </c>
      <c r="L51" s="10" t="str">
        <f>VLOOKUP(A51,Courier_compnay_invoice!B:F,5,0)</f>
        <v>b</v>
      </c>
      <c r="M51" s="7">
        <f>IFS(I51="a",(Curioer_Rate!$B$5+((D51-0.5)*2)*Curioer_Rate!$C$5),
     I51 ="b",(Curioer_Rate!$B$6+((D51-0.5)*2)*Curioer_Rate!$C$6),
     I51="c",(Curioer_Rate!$B$7+((D51-0.5)*2)*Curioer_Rate!$C$7),
     I51="d",(Curioer_Rate!$B$8+((D51-0.5)*2)*Curioer_Rate!$C$8),
     I51="e",(Curioer_Rate!$B$9+((D51-0.5)*2)*Curioer_Rate!$C$9))</f>
        <v>61.3</v>
      </c>
      <c r="N51" s="7" t="str">
        <f>VLOOKUP(A51,Courier_compnay_invoice!B:H,7,0)</f>
        <v>174.5</v>
      </c>
      <c r="O51" s="7">
        <f t="shared" si="5"/>
        <v>-113.2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8" t="s">
        <v>115</v>
      </c>
      <c r="B52" s="8" t="s">
        <v>116</v>
      </c>
      <c r="C52" s="9">
        <f>SUMIF('Company X - order Report'!$A:$A,A52,'Company X - order Report'!$E:$E)</f>
        <v>0.361</v>
      </c>
      <c r="D52" s="10">
        <f t="shared" si="1"/>
        <v>0.5</v>
      </c>
      <c r="E52" s="10">
        <f t="shared" si="2"/>
        <v>1</v>
      </c>
      <c r="F52" s="10">
        <f t="shared" si="3"/>
        <v>0</v>
      </c>
      <c r="G52" s="10" t="str">
        <f>VLOOKUP(A52,Courier_compnay_invoice!B:C,2,0)</f>
        <v>1.35</v>
      </c>
      <c r="H52" s="8">
        <f t="shared" si="4"/>
        <v>1.5</v>
      </c>
      <c r="I52" s="10" t="str">
        <f>VLOOKUP(A52,'Company X - Pincode Zones'!A:D,4,0)</f>
        <v>b</v>
      </c>
      <c r="J52" s="10" t="str">
        <f>VLOOKUP(I52,'Company X - Pincode Zones'!D:E,2,0)</f>
        <v>Forward charges</v>
      </c>
      <c r="K52" s="10" t="str">
        <f t="shared" si="6"/>
        <v>NA</v>
      </c>
      <c r="L52" s="10" t="str">
        <f>VLOOKUP(A52,Courier_compnay_invoice!B:F,5,0)</f>
        <v>b</v>
      </c>
      <c r="M52" s="7">
        <f>IFS(I52="a",(Curioer_Rate!$B$5+((D52-0.5)*2)*Curioer_Rate!$C$5),
     I52 ="b",(Curioer_Rate!$B$6+((D52-0.5)*2)*Curioer_Rate!$C$6),
     I52="c",(Curioer_Rate!$B$7+((D52-0.5)*2)*Curioer_Rate!$C$7),
     I52="d",(Curioer_Rate!$B$8+((D52-0.5)*2)*Curioer_Rate!$C$8),
     I52="e",(Curioer_Rate!$B$9+((D52-0.5)*2)*Curioer_Rate!$C$9))</f>
        <v>33</v>
      </c>
      <c r="N52" s="7" t="str">
        <f>VLOOKUP(A52,Courier_compnay_invoice!B:H,7,0)</f>
        <v>89.6</v>
      </c>
      <c r="O52" s="7">
        <f t="shared" si="5"/>
        <v>-56.6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8" t="s">
        <v>117</v>
      </c>
      <c r="B53" s="8" t="s">
        <v>118</v>
      </c>
      <c r="C53" s="9">
        <f>SUMIF('Company X - order Report'!$A:$A,A53,'Company X - order Report'!$E:$E)</f>
        <v>0.5</v>
      </c>
      <c r="D53" s="10">
        <f t="shared" si="1"/>
        <v>0.5</v>
      </c>
      <c r="E53" s="10">
        <f t="shared" si="2"/>
        <v>1</v>
      </c>
      <c r="F53" s="10">
        <f t="shared" si="3"/>
        <v>0</v>
      </c>
      <c r="G53" s="10" t="str">
        <f>VLOOKUP(A53,Courier_compnay_invoice!B:C,2,0)</f>
        <v>0.68</v>
      </c>
      <c r="H53" s="8">
        <f t="shared" si="4"/>
        <v>1</v>
      </c>
      <c r="I53" s="10" t="str">
        <f>VLOOKUP(A53,'Company X - Pincode Zones'!A:D,4,0)</f>
        <v>d</v>
      </c>
      <c r="J53" s="10" t="str">
        <f>VLOOKUP(I53,'Company X - Pincode Zones'!D:E,2,0)</f>
        <v>Forward charges</v>
      </c>
      <c r="K53" s="10" t="str">
        <f t="shared" si="6"/>
        <v>fwd_d</v>
      </c>
      <c r="L53" s="10" t="str">
        <f>VLOOKUP(A53,Courier_compnay_invoice!B:F,5,0)</f>
        <v>d</v>
      </c>
      <c r="M53" s="7">
        <f>IFS(I53="a",(Curioer_Rate!$B$5+((D53-0.5)*2)*Curioer_Rate!$C$5),
     I53 ="b",(Curioer_Rate!$B$6+((D53-0.5)*2)*Curioer_Rate!$C$6),
     I53="c",(Curioer_Rate!$B$7+((D53-0.5)*2)*Curioer_Rate!$C$7),
     I53="d",(Curioer_Rate!$B$8+((D53-0.5)*2)*Curioer_Rate!$C$8),
     I53="e",(Curioer_Rate!$B$9+((D53-0.5)*2)*Curioer_Rate!$C$9))</f>
        <v>45.4</v>
      </c>
      <c r="N53" s="7" t="str">
        <f>VLOOKUP(A53,Courier_compnay_invoice!B:H,7,0)</f>
        <v>90.2</v>
      </c>
      <c r="O53" s="7">
        <f t="shared" si="5"/>
        <v>-44.8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8" t="s">
        <v>119</v>
      </c>
      <c r="B54" s="8" t="s">
        <v>120</v>
      </c>
      <c r="C54" s="9">
        <f>SUMIF('Company X - order Report'!$A:$A,A54,'Company X - order Report'!$E:$E)</f>
        <v>1.459</v>
      </c>
      <c r="D54" s="10">
        <f t="shared" si="1"/>
        <v>1.5</v>
      </c>
      <c r="E54" s="10">
        <f t="shared" si="2"/>
        <v>1</v>
      </c>
      <c r="F54" s="10">
        <f t="shared" si="3"/>
        <v>2</v>
      </c>
      <c r="G54" s="10" t="str">
        <f>VLOOKUP(A54,Courier_compnay_invoice!B:C,2,0)</f>
        <v>1.64</v>
      </c>
      <c r="H54" s="8">
        <f t="shared" si="4"/>
        <v>2</v>
      </c>
      <c r="I54" s="10" t="str">
        <f>VLOOKUP(A54,'Company X - Pincode Zones'!A:D,4,0)</f>
        <v>d</v>
      </c>
      <c r="J54" s="10" t="str">
        <f>VLOOKUP(I54,'Company X - Pincode Zones'!D:E,2,0)</f>
        <v>Forward charges</v>
      </c>
      <c r="K54" s="10" t="str">
        <f t="shared" si="6"/>
        <v>fwd_d</v>
      </c>
      <c r="L54" s="10" t="str">
        <f>VLOOKUP(A54,Courier_compnay_invoice!B:F,5,0)</f>
        <v>d</v>
      </c>
      <c r="M54" s="7">
        <f>IFS(I54="a",(Curioer_Rate!$B$5+((D54-0.5)*2)*Curioer_Rate!$C$5),
     I54 ="b",(Curioer_Rate!$B$6+((D54-0.5)*2)*Curioer_Rate!$C$6),
     I54="c",(Curioer_Rate!$B$7+((D54-0.5)*2)*Curioer_Rate!$C$7),
     I54="d",(Curioer_Rate!$B$8+((D54-0.5)*2)*Curioer_Rate!$C$8),
     I54="e",(Curioer_Rate!$B$9+((D54-0.5)*2)*Curioer_Rate!$C$9))</f>
        <v>135</v>
      </c>
      <c r="N54" s="7" t="str">
        <f>VLOOKUP(A54,Courier_compnay_invoice!B:H,7,0)</f>
        <v>179.8</v>
      </c>
      <c r="O54" s="7">
        <f t="shared" si="5"/>
        <v>-44.8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8" t="s">
        <v>121</v>
      </c>
      <c r="B55" s="8" t="s">
        <v>122</v>
      </c>
      <c r="C55" s="9">
        <f>SUMIF('Company X - order Report'!$A:$A,A55,'Company X - order Report'!$E:$E)</f>
        <v>0.5</v>
      </c>
      <c r="D55" s="10">
        <f t="shared" si="1"/>
        <v>0.5</v>
      </c>
      <c r="E55" s="10">
        <f t="shared" si="2"/>
        <v>1</v>
      </c>
      <c r="F55" s="10">
        <f t="shared" si="3"/>
        <v>0</v>
      </c>
      <c r="G55" s="10" t="str">
        <f>VLOOKUP(A55,Courier_compnay_invoice!B:C,2,0)</f>
        <v>0.67</v>
      </c>
      <c r="H55" s="8">
        <f t="shared" si="4"/>
        <v>1</v>
      </c>
      <c r="I55" s="10" t="str">
        <f>VLOOKUP(A55,'Company X - Pincode Zones'!A:D,4,0)</f>
        <v>d</v>
      </c>
      <c r="J55" s="10" t="str">
        <f>VLOOKUP(I55,'Company X - Pincode Zones'!D:E,2,0)</f>
        <v>Forward charges</v>
      </c>
      <c r="K55" s="10" t="str">
        <f t="shared" si="6"/>
        <v>fwd_d</v>
      </c>
      <c r="L55" s="10" t="str">
        <f>VLOOKUP(A55,Courier_compnay_invoice!B:F,5,0)</f>
        <v>d</v>
      </c>
      <c r="M55" s="7">
        <f>IFS(I55="a",(Curioer_Rate!$B$5+((D55-0.5)*2)*Curioer_Rate!$C$5),
     I55 ="b",(Curioer_Rate!$B$6+((D55-0.5)*2)*Curioer_Rate!$C$6),
     I55="c",(Curioer_Rate!$B$7+((D55-0.5)*2)*Curioer_Rate!$C$7),
     I55="d",(Curioer_Rate!$B$8+((D55-0.5)*2)*Curioer_Rate!$C$8),
     I55="e",(Curioer_Rate!$B$9+((D55-0.5)*2)*Curioer_Rate!$C$9))</f>
        <v>45.4</v>
      </c>
      <c r="N55" s="7" t="str">
        <f>VLOOKUP(A55,Courier_compnay_invoice!B:H,7,0)</f>
        <v>90.2</v>
      </c>
      <c r="O55" s="7">
        <f t="shared" si="5"/>
        <v>-44.8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8" t="s">
        <v>123</v>
      </c>
      <c r="B56" s="8" t="s">
        <v>124</v>
      </c>
      <c r="C56" s="9">
        <f>SUMIF('Company X - order Report'!$A:$A,A56,'Company X - order Report'!$E:$E)</f>
        <v>2.016</v>
      </c>
      <c r="D56" s="10">
        <f t="shared" si="1"/>
        <v>2.5</v>
      </c>
      <c r="E56" s="10">
        <f t="shared" si="2"/>
        <v>1</v>
      </c>
      <c r="F56" s="10">
        <f t="shared" si="3"/>
        <v>4</v>
      </c>
      <c r="G56" s="10" t="str">
        <f>VLOOKUP(A56,Courier_compnay_invoice!B:C,2,0)</f>
        <v>2</v>
      </c>
      <c r="H56" s="8">
        <f t="shared" si="4"/>
        <v>2</v>
      </c>
      <c r="I56" s="10" t="str">
        <f>VLOOKUP(A56,'Company X - Pincode Zones'!A:D,4,0)</f>
        <v>d</v>
      </c>
      <c r="J56" s="10" t="str">
        <f>VLOOKUP(I56,'Company X - Pincode Zones'!D:E,2,0)</f>
        <v>Forward charges</v>
      </c>
      <c r="K56" s="10" t="str">
        <f t="shared" si="6"/>
        <v>fwd_d</v>
      </c>
      <c r="L56" s="10" t="str">
        <f>VLOOKUP(A56,Courier_compnay_invoice!B:F,5,0)</f>
        <v>d</v>
      </c>
      <c r="M56" s="7">
        <f>IFS(I56="a",(Curioer_Rate!$B$5+((D56-0.5)*2)*Curioer_Rate!$C$5),
     I56 ="b",(Curioer_Rate!$B$6+((D56-0.5)*2)*Curioer_Rate!$C$6),
     I56="c",(Curioer_Rate!$B$7+((D56-0.5)*2)*Curioer_Rate!$C$7),
     I56="d",(Curioer_Rate!$B$8+((D56-0.5)*2)*Curioer_Rate!$C$8),
     I56="e",(Curioer_Rate!$B$9+((D56-0.5)*2)*Curioer_Rate!$C$9))</f>
        <v>224.6</v>
      </c>
      <c r="N56" s="7" t="str">
        <f>VLOOKUP(A56,Courier_compnay_invoice!B:H,7,0)</f>
        <v>179.8</v>
      </c>
      <c r="O56" s="7">
        <f t="shared" si="5"/>
        <v>44.8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8" t="s">
        <v>125</v>
      </c>
      <c r="B57" s="8" t="s">
        <v>126</v>
      </c>
      <c r="C57" s="9">
        <f>SUMIF('Company X - order Report'!$A:$A,A57,'Company X - order Report'!$E:$E)</f>
        <v>1.048</v>
      </c>
      <c r="D57" s="10">
        <f t="shared" si="1"/>
        <v>1.5</v>
      </c>
      <c r="E57" s="10">
        <f t="shared" si="2"/>
        <v>1</v>
      </c>
      <c r="F57" s="10">
        <f t="shared" si="3"/>
        <v>2</v>
      </c>
      <c r="G57" s="10" t="str">
        <f>VLOOKUP(A57,Courier_compnay_invoice!B:C,2,0)</f>
        <v>1</v>
      </c>
      <c r="H57" s="8">
        <f t="shared" si="4"/>
        <v>1</v>
      </c>
      <c r="I57" s="10" t="str">
        <f>VLOOKUP(A57,'Company X - Pincode Zones'!A:D,4,0)</f>
        <v>b</v>
      </c>
      <c r="J57" s="10" t="str">
        <f>VLOOKUP(I57,'Company X - Pincode Zones'!D:E,2,0)</f>
        <v>Forward charges</v>
      </c>
      <c r="K57" s="10" t="str">
        <f t="shared" si="6"/>
        <v>NA</v>
      </c>
      <c r="L57" s="10" t="str">
        <f>VLOOKUP(A57,Courier_compnay_invoice!B:F,5,0)</f>
        <v>b</v>
      </c>
      <c r="M57" s="7">
        <f>IFS(I57="a",(Curioer_Rate!$B$5+((D57-0.5)*2)*Curioer_Rate!$C$5),
     I57 ="b",(Curioer_Rate!$B$6+((D57-0.5)*2)*Curioer_Rate!$C$6),
     I57="c",(Curioer_Rate!$B$7+((D57-0.5)*2)*Curioer_Rate!$C$7),
     I57="d",(Curioer_Rate!$B$8+((D57-0.5)*2)*Curioer_Rate!$C$8),
     I57="e",(Curioer_Rate!$B$9+((D57-0.5)*2)*Curioer_Rate!$C$9))</f>
        <v>89.6</v>
      </c>
      <c r="N57" s="7" t="str">
        <f>VLOOKUP(A57,Courier_compnay_invoice!B:H,7,0)</f>
        <v>61.3</v>
      </c>
      <c r="O57" s="7">
        <f t="shared" si="5"/>
        <v>28.3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8" t="s">
        <v>127</v>
      </c>
      <c r="B58" s="8" t="s">
        <v>128</v>
      </c>
      <c r="C58" s="9">
        <f>SUMIF('Company X - order Report'!$A:$A,A58,'Company X - order Report'!$E:$E)</f>
        <v>1.505</v>
      </c>
      <c r="D58" s="10">
        <f t="shared" si="1"/>
        <v>2</v>
      </c>
      <c r="E58" s="10">
        <f t="shared" si="2"/>
        <v>1</v>
      </c>
      <c r="F58" s="10">
        <f t="shared" si="3"/>
        <v>3</v>
      </c>
      <c r="G58" s="10" t="str">
        <f>VLOOKUP(A58,Courier_compnay_invoice!B:C,2,0)</f>
        <v>1.5</v>
      </c>
      <c r="H58" s="8">
        <f t="shared" si="4"/>
        <v>1.5</v>
      </c>
      <c r="I58" s="10" t="str">
        <f>VLOOKUP(A58,'Company X - Pincode Zones'!A:D,4,0)</f>
        <v>b</v>
      </c>
      <c r="J58" s="10" t="str">
        <f>VLOOKUP(I58,'Company X - Pincode Zones'!D:E,2,0)</f>
        <v>Forward charges</v>
      </c>
      <c r="K58" s="10" t="str">
        <f t="shared" si="6"/>
        <v>NA</v>
      </c>
      <c r="L58" s="10" t="str">
        <f>VLOOKUP(A58,Courier_compnay_invoice!B:F,5,0)</f>
        <v>b</v>
      </c>
      <c r="M58" s="7">
        <f>IFS(I58="a",(Curioer_Rate!$B$5+((D58-0.5)*2)*Curioer_Rate!$C$5),
     I58 ="b",(Curioer_Rate!$B$6+((D58-0.5)*2)*Curioer_Rate!$C$6),
     I58="c",(Curioer_Rate!$B$7+((D58-0.5)*2)*Curioer_Rate!$C$7),
     I58="d",(Curioer_Rate!$B$8+((D58-0.5)*2)*Curioer_Rate!$C$8),
     I58="e",(Curioer_Rate!$B$9+((D58-0.5)*2)*Curioer_Rate!$C$9))</f>
        <v>117.9</v>
      </c>
      <c r="N58" s="7" t="str">
        <f>VLOOKUP(A58,Courier_compnay_invoice!B:H,7,0)</f>
        <v>89.6</v>
      </c>
      <c r="O58" s="7">
        <f t="shared" si="5"/>
        <v>28.3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8" t="s">
        <v>129</v>
      </c>
      <c r="B59" s="8" t="s">
        <v>130</v>
      </c>
      <c r="C59" s="9">
        <f>SUMIF('Company X - order Report'!$A:$A,A59,'Company X - order Report'!$E:$E)</f>
        <v>1.517</v>
      </c>
      <c r="D59" s="10">
        <f t="shared" si="1"/>
        <v>2</v>
      </c>
      <c r="E59" s="10">
        <f t="shared" si="2"/>
        <v>1</v>
      </c>
      <c r="F59" s="10">
        <f t="shared" si="3"/>
        <v>3</v>
      </c>
      <c r="G59" s="10" t="str">
        <f>VLOOKUP(A59,Courier_compnay_invoice!B:C,2,0)</f>
        <v>1.5</v>
      </c>
      <c r="H59" s="8">
        <f t="shared" si="4"/>
        <v>1.5</v>
      </c>
      <c r="I59" s="10" t="str">
        <f>VLOOKUP(A59,'Company X - Pincode Zones'!A:D,4,0)</f>
        <v>d</v>
      </c>
      <c r="J59" s="10" t="str">
        <f>VLOOKUP(I59,'Company X - Pincode Zones'!D:E,2,0)</f>
        <v>Forward charges</v>
      </c>
      <c r="K59" s="10" t="str">
        <f t="shared" si="6"/>
        <v>fwd_d</v>
      </c>
      <c r="L59" s="10" t="str">
        <f>VLOOKUP(A59,Courier_compnay_invoice!B:F,5,0)</f>
        <v>d</v>
      </c>
      <c r="M59" s="7">
        <f>IFS(I59="a",(Curioer_Rate!$B$5+((D59-0.5)*2)*Curioer_Rate!$C$5),
     I59 ="b",(Curioer_Rate!$B$6+((D59-0.5)*2)*Curioer_Rate!$C$6),
     I59="c",(Curioer_Rate!$B$7+((D59-0.5)*2)*Curioer_Rate!$C$7),
     I59="d",(Curioer_Rate!$B$8+((D59-0.5)*2)*Curioer_Rate!$C$8),
     I59="e",(Curioer_Rate!$B$9+((D59-0.5)*2)*Curioer_Rate!$C$9))</f>
        <v>179.8</v>
      </c>
      <c r="N59" s="7" t="str">
        <f>VLOOKUP(A59,Courier_compnay_invoice!B:H,7,0)</f>
        <v>135</v>
      </c>
      <c r="O59" s="7">
        <f t="shared" si="5"/>
        <v>44.8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8" t="s">
        <v>131</v>
      </c>
      <c r="B60" s="8" t="s">
        <v>132</v>
      </c>
      <c r="C60" s="9">
        <f>SUMIF('Company X - order Report'!$A:$A,A60,'Company X - order Report'!$E:$E)</f>
        <v>3.08</v>
      </c>
      <c r="D60" s="10">
        <f t="shared" si="1"/>
        <v>3.5</v>
      </c>
      <c r="E60" s="10">
        <f t="shared" si="2"/>
        <v>1</v>
      </c>
      <c r="F60" s="10">
        <f t="shared" si="3"/>
        <v>6</v>
      </c>
      <c r="G60" s="10" t="str">
        <f>VLOOKUP(A60,Courier_compnay_invoice!B:C,2,0)</f>
        <v>3</v>
      </c>
      <c r="H60" s="8">
        <f t="shared" si="4"/>
        <v>3</v>
      </c>
      <c r="I60" s="10" t="str">
        <f>VLOOKUP(A60,'Company X - Pincode Zones'!A:D,4,0)</f>
        <v>d</v>
      </c>
      <c r="J60" s="10" t="str">
        <f>VLOOKUP(I60,'Company X - Pincode Zones'!D:E,2,0)</f>
        <v>Forward charges</v>
      </c>
      <c r="K60" s="10" t="str">
        <f t="shared" si="6"/>
        <v>fwd_d</v>
      </c>
      <c r="L60" s="10" t="str">
        <f>VLOOKUP(A60,Courier_compnay_invoice!B:F,5,0)</f>
        <v>d</v>
      </c>
      <c r="M60" s="7">
        <f>IFS(I60="a",(Curioer_Rate!$B$5+((D60-0.5)*2)*Curioer_Rate!$C$5),
     I60 ="b",(Curioer_Rate!$B$6+((D60-0.5)*2)*Curioer_Rate!$C$6),
     I60="c",(Curioer_Rate!$B$7+((D60-0.5)*2)*Curioer_Rate!$C$7),
     I60="d",(Curioer_Rate!$B$8+((D60-0.5)*2)*Curioer_Rate!$C$8),
     I60="e",(Curioer_Rate!$B$9+((D60-0.5)*2)*Curioer_Rate!$C$9))</f>
        <v>314.2</v>
      </c>
      <c r="N60" s="7" t="str">
        <f>VLOOKUP(A60,Courier_compnay_invoice!B:H,7,0)</f>
        <v>269.4</v>
      </c>
      <c r="O60" s="7">
        <f t="shared" si="5"/>
        <v>44.8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8" t="s">
        <v>133</v>
      </c>
      <c r="B61" s="8" t="s">
        <v>134</v>
      </c>
      <c r="C61" s="9">
        <f>SUMIF('Company X - order Report'!$A:$A,A61,'Company X - order Report'!$E:$E)</f>
        <v>1.621</v>
      </c>
      <c r="D61" s="10">
        <f t="shared" si="1"/>
        <v>2</v>
      </c>
      <c r="E61" s="10">
        <f t="shared" si="2"/>
        <v>1</v>
      </c>
      <c r="F61" s="10">
        <f t="shared" si="3"/>
        <v>3</v>
      </c>
      <c r="G61" s="10" t="str">
        <f>VLOOKUP(A61,Courier_compnay_invoice!B:C,2,0)</f>
        <v>1.7</v>
      </c>
      <c r="H61" s="8">
        <f t="shared" si="4"/>
        <v>2</v>
      </c>
      <c r="I61" s="10" t="str">
        <f>VLOOKUP(A61,'Company X - Pincode Zones'!A:D,4,0)</f>
        <v>b</v>
      </c>
      <c r="J61" s="10" t="str">
        <f>VLOOKUP(I61,'Company X - Pincode Zones'!D:E,2,0)</f>
        <v>Forward charges</v>
      </c>
      <c r="K61" s="10" t="str">
        <f t="shared" si="6"/>
        <v>NA</v>
      </c>
      <c r="L61" s="10" t="str">
        <f>VLOOKUP(A61,Courier_compnay_invoice!B:F,5,0)</f>
        <v>d</v>
      </c>
      <c r="M61" s="7">
        <f>IFS(I61="a",(Curioer_Rate!$B$5+((D61-0.5)*2)*Curioer_Rate!$C$5),
     I61 ="b",(Curioer_Rate!$B$6+((D61-0.5)*2)*Curioer_Rate!$C$6),
     I61="c",(Curioer_Rate!$B$7+((D61-0.5)*2)*Curioer_Rate!$C$7),
     I61="d",(Curioer_Rate!$B$8+((D61-0.5)*2)*Curioer_Rate!$C$8),
     I61="e",(Curioer_Rate!$B$9+((D61-0.5)*2)*Curioer_Rate!$C$9))</f>
        <v>117.9</v>
      </c>
      <c r="N61" s="7" t="str">
        <f>VLOOKUP(A61,Courier_compnay_invoice!B:H,7,0)</f>
        <v>179.8</v>
      </c>
      <c r="O61" s="7">
        <f t="shared" si="5"/>
        <v>-61.9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8" t="s">
        <v>135</v>
      </c>
      <c r="B62" s="8" t="s">
        <v>136</v>
      </c>
      <c r="C62" s="9">
        <f>SUMIF('Company X - order Report'!$A:$A,A62,'Company X - order Report'!$E:$E)</f>
        <v>0.607</v>
      </c>
      <c r="D62" s="10">
        <f t="shared" si="1"/>
        <v>1</v>
      </c>
      <c r="E62" s="10">
        <f t="shared" si="2"/>
        <v>1</v>
      </c>
      <c r="F62" s="10">
        <f t="shared" si="3"/>
        <v>1</v>
      </c>
      <c r="G62" s="10" t="str">
        <f>VLOOKUP(A62,Courier_compnay_invoice!B:C,2,0)</f>
        <v>0.79</v>
      </c>
      <c r="H62" s="8">
        <f t="shared" si="4"/>
        <v>1</v>
      </c>
      <c r="I62" s="10" t="str">
        <f>VLOOKUP(A62,'Company X - Pincode Zones'!A:D,4,0)</f>
        <v>b</v>
      </c>
      <c r="J62" s="10" t="str">
        <f>VLOOKUP(I62,'Company X - Pincode Zones'!D:E,2,0)</f>
        <v>Forward charges</v>
      </c>
      <c r="K62" s="10" t="str">
        <f t="shared" si="6"/>
        <v>NA</v>
      </c>
      <c r="L62" s="10" t="str">
        <f>VLOOKUP(A62,Courier_compnay_invoice!B:F,5,0)</f>
        <v>d</v>
      </c>
      <c r="M62" s="7">
        <f>IFS(I62="a",(Curioer_Rate!$B$5+((D62-0.5)*2)*Curioer_Rate!$C$5),
     I62 ="b",(Curioer_Rate!$B$6+((D62-0.5)*2)*Curioer_Rate!$C$6),
     I62="c",(Curioer_Rate!$B$7+((D62-0.5)*2)*Curioer_Rate!$C$7),
     I62="d",(Curioer_Rate!$B$8+((D62-0.5)*2)*Curioer_Rate!$C$8),
     I62="e",(Curioer_Rate!$B$9+((D62-0.5)*2)*Curioer_Rate!$C$9))</f>
        <v>61.3</v>
      </c>
      <c r="N62" s="7" t="str">
        <f>VLOOKUP(A62,Courier_compnay_invoice!B:H,7,0)</f>
        <v>90.2</v>
      </c>
      <c r="O62" s="7">
        <f t="shared" si="5"/>
        <v>-28.9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8" t="s">
        <v>137</v>
      </c>
      <c r="B63" s="8" t="s">
        <v>138</v>
      </c>
      <c r="C63" s="9">
        <f>SUMIF('Company X - order Report'!$A:$A,A63,'Company X - order Report'!$E:$E)</f>
        <v>0.5</v>
      </c>
      <c r="D63" s="10">
        <f t="shared" si="1"/>
        <v>0.5</v>
      </c>
      <c r="E63" s="10">
        <f t="shared" si="2"/>
        <v>1</v>
      </c>
      <c r="F63" s="10">
        <f t="shared" si="3"/>
        <v>0</v>
      </c>
      <c r="G63" s="10" t="str">
        <f>VLOOKUP(A63,Courier_compnay_invoice!B:C,2,0)</f>
        <v>0.5</v>
      </c>
      <c r="H63" s="8">
        <f t="shared" si="4"/>
        <v>0.5</v>
      </c>
      <c r="I63" s="10" t="str">
        <f>VLOOKUP(A63,'Company X - Pincode Zones'!A:D,4,0)</f>
        <v>b</v>
      </c>
      <c r="J63" s="10" t="str">
        <f>VLOOKUP(I63,'Company X - Pincode Zones'!D:E,2,0)</f>
        <v>Forward charges</v>
      </c>
      <c r="K63" s="10" t="str">
        <f t="shared" si="6"/>
        <v>NA</v>
      </c>
      <c r="L63" s="10" t="str">
        <f>VLOOKUP(A63,Courier_compnay_invoice!B:F,5,0)</f>
        <v>d</v>
      </c>
      <c r="M63" s="7">
        <f>IFS(I63="a",(Curioer_Rate!$B$5+((D63-0.5)*2)*Curioer_Rate!$C$5),
     I63 ="b",(Curioer_Rate!$B$6+((D63-0.5)*2)*Curioer_Rate!$C$6),
     I63="c",(Curioer_Rate!$B$7+((D63-0.5)*2)*Curioer_Rate!$C$7),
     I63="d",(Curioer_Rate!$B$8+((D63-0.5)*2)*Curioer_Rate!$C$8),
     I63="e",(Curioer_Rate!$B$9+((D63-0.5)*2)*Curioer_Rate!$C$9))</f>
        <v>33</v>
      </c>
      <c r="N63" s="7" t="str">
        <f>VLOOKUP(A63,Courier_compnay_invoice!B:H,7,0)</f>
        <v>45.4</v>
      </c>
      <c r="O63" s="7">
        <f t="shared" si="5"/>
        <v>-12.4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8" t="s">
        <v>139</v>
      </c>
      <c r="B64" s="8" t="s">
        <v>140</v>
      </c>
      <c r="C64" s="9">
        <f>SUMIF('Company X - order Report'!$A:$A,A64,'Company X - order Report'!$E:$E)</f>
        <v>0.601</v>
      </c>
      <c r="D64" s="10">
        <f t="shared" si="1"/>
        <v>1</v>
      </c>
      <c r="E64" s="10">
        <f t="shared" si="2"/>
        <v>1</v>
      </c>
      <c r="F64" s="10">
        <f t="shared" si="3"/>
        <v>1</v>
      </c>
      <c r="G64" s="10" t="str">
        <f>VLOOKUP(A64,Courier_compnay_invoice!B:C,2,0)</f>
        <v>0.77</v>
      </c>
      <c r="H64" s="8">
        <f t="shared" si="4"/>
        <v>1</v>
      </c>
      <c r="I64" s="10" t="str">
        <f>VLOOKUP(A64,'Company X - Pincode Zones'!A:D,4,0)</f>
        <v>b</v>
      </c>
      <c r="J64" s="10" t="str">
        <f>VLOOKUP(I64,'Company X - Pincode Zones'!D:E,2,0)</f>
        <v>Forward charges</v>
      </c>
      <c r="K64" s="10" t="str">
        <f t="shared" si="6"/>
        <v>NA</v>
      </c>
      <c r="L64" s="10" t="str">
        <f>VLOOKUP(A64,Courier_compnay_invoice!B:F,5,0)</f>
        <v>d</v>
      </c>
      <c r="M64" s="7">
        <f>IFS(I64="a",(Curioer_Rate!$B$5+((D64-0.5)*2)*Curioer_Rate!$C$5),
     I64 ="b",(Curioer_Rate!$B$6+((D64-0.5)*2)*Curioer_Rate!$C$6),
     I64="c",(Curioer_Rate!$B$7+((D64-0.5)*2)*Curioer_Rate!$C$7),
     I64="d",(Curioer_Rate!$B$8+((D64-0.5)*2)*Curioer_Rate!$C$8),
     I64="e",(Curioer_Rate!$B$9+((D64-0.5)*2)*Curioer_Rate!$C$9))</f>
        <v>61.3</v>
      </c>
      <c r="N64" s="7" t="str">
        <f>VLOOKUP(A64,Courier_compnay_invoice!B:H,7,0)</f>
        <v>90.2</v>
      </c>
      <c r="O64" s="7">
        <f t="shared" si="5"/>
        <v>-28.9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8" t="s">
        <v>141</v>
      </c>
      <c r="B65" s="8" t="s">
        <v>142</v>
      </c>
      <c r="C65" s="9">
        <f>SUMIF('Company X - order Report'!$A:$A,A65,'Company X - order Report'!$E:$E)</f>
        <v>0.731</v>
      </c>
      <c r="D65" s="10">
        <f t="shared" si="1"/>
        <v>1</v>
      </c>
      <c r="E65" s="10">
        <f t="shared" si="2"/>
        <v>1</v>
      </c>
      <c r="F65" s="10">
        <f t="shared" si="3"/>
        <v>1</v>
      </c>
      <c r="G65" s="10" t="str">
        <f>VLOOKUP(A65,Courier_compnay_invoice!B:C,2,0)</f>
        <v>0.8</v>
      </c>
      <c r="H65" s="8">
        <f t="shared" si="4"/>
        <v>1</v>
      </c>
      <c r="I65" s="10" t="str">
        <f>VLOOKUP(A65,'Company X - Pincode Zones'!A:D,4,0)</f>
        <v>b</v>
      </c>
      <c r="J65" s="10" t="str">
        <f>VLOOKUP(I65,'Company X - Pincode Zones'!D:E,2,0)</f>
        <v>Forward charges</v>
      </c>
      <c r="K65" s="10" t="str">
        <f t="shared" si="6"/>
        <v>NA</v>
      </c>
      <c r="L65" s="10" t="str">
        <f>VLOOKUP(A65,Courier_compnay_invoice!B:F,5,0)</f>
        <v>d</v>
      </c>
      <c r="M65" s="7">
        <f>IFS(I65="a",(Curioer_Rate!$B$5+((D65-0.5)*2)*Curioer_Rate!$C$5),
     I65 ="b",(Curioer_Rate!$B$6+((D65-0.5)*2)*Curioer_Rate!$C$6),
     I65="c",(Curioer_Rate!$B$7+((D65-0.5)*2)*Curioer_Rate!$C$7),
     I65="d",(Curioer_Rate!$B$8+((D65-0.5)*2)*Curioer_Rate!$C$8),
     I65="e",(Curioer_Rate!$B$9+((D65-0.5)*2)*Curioer_Rate!$C$9))</f>
        <v>61.3</v>
      </c>
      <c r="N65" s="7" t="str">
        <f>VLOOKUP(A65,Courier_compnay_invoice!B:H,7,0)</f>
        <v>90.2</v>
      </c>
      <c r="O65" s="7">
        <f t="shared" si="5"/>
        <v>-28.9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8" t="s">
        <v>143</v>
      </c>
      <c r="B66" s="8" t="s">
        <v>144</v>
      </c>
      <c r="C66" s="9">
        <f>SUMIF('Company X - order Report'!$A:$A,A66,'Company X - order Report'!$E:$E)</f>
        <v>0.601</v>
      </c>
      <c r="D66" s="10">
        <f t="shared" si="1"/>
        <v>1</v>
      </c>
      <c r="E66" s="10">
        <f t="shared" si="2"/>
        <v>1</v>
      </c>
      <c r="F66" s="10">
        <f t="shared" si="3"/>
        <v>1</v>
      </c>
      <c r="G66" s="10" t="str">
        <f>VLOOKUP(A66,Courier_compnay_invoice!B:C,2,0)</f>
        <v>0.76</v>
      </c>
      <c r="H66" s="8">
        <f t="shared" si="4"/>
        <v>1</v>
      </c>
      <c r="I66" s="10" t="str">
        <f>VLOOKUP(A66,'Company X - Pincode Zones'!A:D,4,0)</f>
        <v>b</v>
      </c>
      <c r="J66" s="10" t="str">
        <f>VLOOKUP(I66,'Company X - Pincode Zones'!D:E,2,0)</f>
        <v>Forward charges</v>
      </c>
      <c r="K66" s="10" t="str">
        <f t="shared" si="6"/>
        <v>NA</v>
      </c>
      <c r="L66" s="10" t="str">
        <f>VLOOKUP(A66,Courier_compnay_invoice!B:F,5,0)</f>
        <v>d</v>
      </c>
      <c r="M66" s="7">
        <f>IFS(I66="a",(Curioer_Rate!$B$5+((D66-0.5)*2)*Curioer_Rate!$C$5),
     I66 ="b",(Curioer_Rate!$B$6+((D66-0.5)*2)*Curioer_Rate!$C$6),
     I66="c",(Curioer_Rate!$B$7+((D66-0.5)*2)*Curioer_Rate!$C$7),
     I66="d",(Curioer_Rate!$B$8+((D66-0.5)*2)*Curioer_Rate!$C$8),
     I66="e",(Curioer_Rate!$B$9+((D66-0.5)*2)*Curioer_Rate!$C$9))</f>
        <v>61.3</v>
      </c>
      <c r="N66" s="7" t="str">
        <f>VLOOKUP(A66,Courier_compnay_invoice!B:H,7,0)</f>
        <v>90.2</v>
      </c>
      <c r="O66" s="7">
        <f t="shared" si="5"/>
        <v>-28.9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8" t="s">
        <v>145</v>
      </c>
      <c r="B67" s="8" t="s">
        <v>146</v>
      </c>
      <c r="C67" s="9">
        <f>SUMIF('Company X - order Report'!$A:$A,A67,'Company X - order Report'!$E:$E)</f>
        <v>0.607</v>
      </c>
      <c r="D67" s="10">
        <f t="shared" si="1"/>
        <v>1</v>
      </c>
      <c r="E67" s="10">
        <f t="shared" si="2"/>
        <v>1</v>
      </c>
      <c r="F67" s="10">
        <f t="shared" si="3"/>
        <v>1</v>
      </c>
      <c r="G67" s="10" t="str">
        <f>VLOOKUP(A67,Courier_compnay_invoice!B:C,2,0)</f>
        <v>0.76</v>
      </c>
      <c r="H67" s="8">
        <f t="shared" si="4"/>
        <v>1</v>
      </c>
      <c r="I67" s="10" t="str">
        <f>VLOOKUP(A67,'Company X - Pincode Zones'!A:D,4,0)</f>
        <v>b</v>
      </c>
      <c r="J67" s="10" t="str">
        <f>VLOOKUP(I67,'Company X - Pincode Zones'!D:E,2,0)</f>
        <v>Forward charges</v>
      </c>
      <c r="K67" s="10" t="str">
        <f t="shared" si="6"/>
        <v>NA</v>
      </c>
      <c r="L67" s="10" t="str">
        <f>VLOOKUP(A67,Courier_compnay_invoice!B:F,5,0)</f>
        <v>d</v>
      </c>
      <c r="M67" s="7">
        <f>IFS(I67="a",(Curioer_Rate!$B$5+((D67-0.5)*2)*Curioer_Rate!$C$5),
     I67 ="b",(Curioer_Rate!$B$6+((D67-0.5)*2)*Curioer_Rate!$C$6),
     I67="c",(Curioer_Rate!$B$7+((D67-0.5)*2)*Curioer_Rate!$C$7),
     I67="d",(Curioer_Rate!$B$8+((D67-0.5)*2)*Curioer_Rate!$C$8),
     I67="e",(Curioer_Rate!$B$9+((D67-0.5)*2)*Curioer_Rate!$C$9))</f>
        <v>61.3</v>
      </c>
      <c r="N67" s="7" t="str">
        <f>VLOOKUP(A67,Courier_compnay_invoice!B:H,7,0)</f>
        <v>90.2</v>
      </c>
      <c r="O67" s="7">
        <f t="shared" si="5"/>
        <v>-28.9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8" t="s">
        <v>147</v>
      </c>
      <c r="B68" s="8" t="s">
        <v>148</v>
      </c>
      <c r="C68" s="9">
        <f>SUMIF('Company X - order Report'!$A:$A,A68,'Company X - order Report'!$E:$E)</f>
        <v>0.505</v>
      </c>
      <c r="D68" s="10">
        <f t="shared" si="1"/>
        <v>1</v>
      </c>
      <c r="E68" s="10">
        <f t="shared" si="2"/>
        <v>1</v>
      </c>
      <c r="F68" s="10">
        <f t="shared" si="3"/>
        <v>1</v>
      </c>
      <c r="G68" s="10" t="str">
        <f>VLOOKUP(A68,Courier_compnay_invoice!B:C,2,0)</f>
        <v>0.6</v>
      </c>
      <c r="H68" s="8">
        <f t="shared" si="4"/>
        <v>1</v>
      </c>
      <c r="I68" s="10" t="str">
        <f>VLOOKUP(A68,'Company X - Pincode Zones'!A:D,4,0)</f>
        <v>b</v>
      </c>
      <c r="J68" s="10" t="str">
        <f>VLOOKUP(I68,'Company X - Pincode Zones'!D:E,2,0)</f>
        <v>Forward charges</v>
      </c>
      <c r="K68" s="10" t="str">
        <f t="shared" si="6"/>
        <v>NA</v>
      </c>
      <c r="L68" s="10" t="str">
        <f>VLOOKUP(A68,Courier_compnay_invoice!B:F,5,0)</f>
        <v>d</v>
      </c>
      <c r="M68" s="7">
        <f>IFS(I68="a",(Curioer_Rate!$B$5+((D68-0.5)*2)*Curioer_Rate!$C$5),
     I68 ="b",(Curioer_Rate!$B$6+((D68-0.5)*2)*Curioer_Rate!$C$6),
     I68="c",(Curioer_Rate!$B$7+((D68-0.5)*2)*Curioer_Rate!$C$7),
     I68="d",(Curioer_Rate!$B$8+((D68-0.5)*2)*Curioer_Rate!$C$8),
     I68="e",(Curioer_Rate!$B$9+((D68-0.5)*2)*Curioer_Rate!$C$9))</f>
        <v>61.3</v>
      </c>
      <c r="N68" s="7" t="str">
        <f>VLOOKUP(A68,Courier_compnay_invoice!B:H,7,0)</f>
        <v>90.2</v>
      </c>
      <c r="O68" s="7">
        <f t="shared" si="5"/>
        <v>-28.9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8" t="s">
        <v>149</v>
      </c>
      <c r="B69" s="8" t="s">
        <v>150</v>
      </c>
      <c r="C69" s="9">
        <f>SUMIF('Company X - order Report'!$A:$A,A69,'Company X - order Report'!$E:$E)</f>
        <v>0.508</v>
      </c>
      <c r="D69" s="10">
        <f t="shared" si="1"/>
        <v>1</v>
      </c>
      <c r="E69" s="10">
        <f t="shared" si="2"/>
        <v>1</v>
      </c>
      <c r="F69" s="10">
        <f t="shared" si="3"/>
        <v>1</v>
      </c>
      <c r="G69" s="10" t="str">
        <f>VLOOKUP(A69,Courier_compnay_invoice!B:C,2,0)</f>
        <v>0.59</v>
      </c>
      <c r="H69" s="8">
        <f t="shared" si="4"/>
        <v>1</v>
      </c>
      <c r="I69" s="10" t="str">
        <f>VLOOKUP(A69,'Company X - Pincode Zones'!A:D,4,0)</f>
        <v>b</v>
      </c>
      <c r="J69" s="10" t="str">
        <f>VLOOKUP(I69,'Company X - Pincode Zones'!D:E,2,0)</f>
        <v>Forward charges</v>
      </c>
      <c r="K69" s="10" t="str">
        <f t="shared" si="6"/>
        <v>NA</v>
      </c>
      <c r="L69" s="10" t="str">
        <f>VLOOKUP(A69,Courier_compnay_invoice!B:F,5,0)</f>
        <v>d</v>
      </c>
      <c r="M69" s="7">
        <f>IFS(I69="a",(Curioer_Rate!$B$5+((D69-0.5)*2)*Curioer_Rate!$C$5),
     I69 ="b",(Curioer_Rate!$B$6+((D69-0.5)*2)*Curioer_Rate!$C$6),
     I69="c",(Curioer_Rate!$B$7+((D69-0.5)*2)*Curioer_Rate!$C$7),
     I69="d",(Curioer_Rate!$B$8+((D69-0.5)*2)*Curioer_Rate!$C$8),
     I69="e",(Curioer_Rate!$B$9+((D69-0.5)*2)*Curioer_Rate!$C$9))</f>
        <v>61.3</v>
      </c>
      <c r="N69" s="7" t="str">
        <f>VLOOKUP(A69,Courier_compnay_invoice!B:H,7,0)</f>
        <v>90.2</v>
      </c>
      <c r="O69" s="7">
        <f t="shared" si="5"/>
        <v>-28.9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8" t="s">
        <v>151</v>
      </c>
      <c r="B70" s="8" t="s">
        <v>152</v>
      </c>
      <c r="C70" s="9">
        <f>SUMIF('Company X - order Report'!$A:$A,A70,'Company X - order Report'!$E:$E)</f>
        <v>0.607</v>
      </c>
      <c r="D70" s="10">
        <f t="shared" si="1"/>
        <v>1</v>
      </c>
      <c r="E70" s="10">
        <f t="shared" si="2"/>
        <v>1</v>
      </c>
      <c r="F70" s="10">
        <f t="shared" si="3"/>
        <v>1</v>
      </c>
      <c r="G70" s="10" t="str">
        <f>VLOOKUP(A70,Courier_compnay_invoice!B:C,2,0)</f>
        <v>0.8</v>
      </c>
      <c r="H70" s="8">
        <f t="shared" si="4"/>
        <v>1</v>
      </c>
      <c r="I70" s="10" t="str">
        <f>VLOOKUP(A70,'Company X - Pincode Zones'!A:D,4,0)</f>
        <v>b</v>
      </c>
      <c r="J70" s="10" t="str">
        <f>VLOOKUP(I70,'Company X - Pincode Zones'!D:E,2,0)</f>
        <v>Forward charges</v>
      </c>
      <c r="K70" s="10" t="str">
        <f t="shared" si="6"/>
        <v>NA</v>
      </c>
      <c r="L70" s="10" t="str">
        <f>VLOOKUP(A70,Courier_compnay_invoice!B:F,5,0)</f>
        <v>d</v>
      </c>
      <c r="M70" s="7">
        <f>IFS(I70="a",(Curioer_Rate!$B$5+((D70-0.5)*2)*Curioer_Rate!$C$5),
     I70 ="b",(Curioer_Rate!$B$6+((D70-0.5)*2)*Curioer_Rate!$C$6),
     I70="c",(Curioer_Rate!$B$7+((D70-0.5)*2)*Curioer_Rate!$C$7),
     I70="d",(Curioer_Rate!$B$8+((D70-0.5)*2)*Curioer_Rate!$C$8),
     I70="e",(Curioer_Rate!$B$9+((D70-0.5)*2)*Curioer_Rate!$C$9))</f>
        <v>61.3</v>
      </c>
      <c r="N70" s="7" t="str">
        <f>VLOOKUP(A70,Courier_compnay_invoice!B:H,7,0)</f>
        <v>90.2</v>
      </c>
      <c r="O70" s="7">
        <f t="shared" si="5"/>
        <v>-28.9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8" t="s">
        <v>153</v>
      </c>
      <c r="B71" s="8" t="s">
        <v>154</v>
      </c>
      <c r="C71" s="9">
        <f>SUMIF('Company X - order Report'!$A:$A,A71,'Company X - order Report'!$E:$E)</f>
        <v>0.5</v>
      </c>
      <c r="D71" s="10">
        <f t="shared" si="1"/>
        <v>0.5</v>
      </c>
      <c r="E71" s="10">
        <f t="shared" si="2"/>
        <v>1</v>
      </c>
      <c r="F71" s="10">
        <f t="shared" si="3"/>
        <v>0</v>
      </c>
      <c r="G71" s="10" t="str">
        <f>VLOOKUP(A71,Courier_compnay_invoice!B:C,2,0)</f>
        <v>0.5</v>
      </c>
      <c r="H71" s="8">
        <f t="shared" si="4"/>
        <v>0.5</v>
      </c>
      <c r="I71" s="10" t="str">
        <f>VLOOKUP(A71,'Company X - Pincode Zones'!A:D,4,0)</f>
        <v>b</v>
      </c>
      <c r="J71" s="10" t="str">
        <f>VLOOKUP(I71,'Company X - Pincode Zones'!D:E,2,0)</f>
        <v>Forward charges</v>
      </c>
      <c r="K71" s="10" t="str">
        <f t="shared" si="6"/>
        <v>NA</v>
      </c>
      <c r="L71" s="10" t="str">
        <f>VLOOKUP(A71,Courier_compnay_invoice!B:F,5,0)</f>
        <v>d</v>
      </c>
      <c r="M71" s="7">
        <f>IFS(I71="a",(Curioer_Rate!$B$5+((D71-0.5)*2)*Curioer_Rate!$C$5),
     I71 ="b",(Curioer_Rate!$B$6+((D71-0.5)*2)*Curioer_Rate!$C$6),
     I71="c",(Curioer_Rate!$B$7+((D71-0.5)*2)*Curioer_Rate!$C$7),
     I71="d",(Curioer_Rate!$B$8+((D71-0.5)*2)*Curioer_Rate!$C$8),
     I71="e",(Curioer_Rate!$B$9+((D71-0.5)*2)*Curioer_Rate!$C$9))</f>
        <v>33</v>
      </c>
      <c r="N71" s="7" t="str">
        <f>VLOOKUP(A71,Courier_compnay_invoice!B:H,7,0)</f>
        <v>86.7</v>
      </c>
      <c r="O71" s="7">
        <f t="shared" si="5"/>
        <v>-53.7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8" t="s">
        <v>155</v>
      </c>
      <c r="B72" s="8" t="s">
        <v>156</v>
      </c>
      <c r="C72" s="9">
        <f>SUMIF('Company X - order Report'!$A:$A,A72,'Company X - order Report'!$E:$E)</f>
        <v>2.572</v>
      </c>
      <c r="D72" s="10">
        <f t="shared" si="1"/>
        <v>3</v>
      </c>
      <c r="E72" s="10">
        <f t="shared" si="2"/>
        <v>1</v>
      </c>
      <c r="F72" s="10">
        <f t="shared" si="3"/>
        <v>5</v>
      </c>
      <c r="G72" s="10" t="str">
        <f>VLOOKUP(A72,Courier_compnay_invoice!B:C,2,0)</f>
        <v>2.94</v>
      </c>
      <c r="H72" s="8">
        <f t="shared" si="4"/>
        <v>3</v>
      </c>
      <c r="I72" s="10" t="str">
        <f>VLOOKUP(A72,'Company X - Pincode Zones'!A:D,4,0)</f>
        <v>b</v>
      </c>
      <c r="J72" s="10" t="str">
        <f>VLOOKUP(I72,'Company X - Pincode Zones'!D:E,2,0)</f>
        <v>Forward charges</v>
      </c>
      <c r="K72" s="10" t="str">
        <f t="shared" si="6"/>
        <v>NA</v>
      </c>
      <c r="L72" s="10" t="str">
        <f>VLOOKUP(A72,Courier_compnay_invoice!B:F,5,0)</f>
        <v>d</v>
      </c>
      <c r="M72" s="7">
        <f>IFS(I72="a",(Curioer_Rate!$B$5+((D72-0.5)*2)*Curioer_Rate!$C$5),
     I72 ="b",(Curioer_Rate!$B$6+((D72-0.5)*2)*Curioer_Rate!$C$6),
     I72="c",(Curioer_Rate!$B$7+((D72-0.5)*2)*Curioer_Rate!$C$7),
     I72="d",(Curioer_Rate!$B$8+((D72-0.5)*2)*Curioer_Rate!$C$8),
     I72="e",(Curioer_Rate!$B$9+((D72-0.5)*2)*Curioer_Rate!$C$9))</f>
        <v>174.5</v>
      </c>
      <c r="N72" s="7" t="str">
        <f>VLOOKUP(A72,Courier_compnay_invoice!B:H,7,0)</f>
        <v>269.4</v>
      </c>
      <c r="O72" s="7">
        <f t="shared" si="5"/>
        <v>-94.9</v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8" t="s">
        <v>157</v>
      </c>
      <c r="B73" s="8" t="s">
        <v>158</v>
      </c>
      <c r="C73" s="9">
        <f>SUMIF('Company X - order Report'!$A:$A,A73,'Company X - order Report'!$E:$E)</f>
        <v>0.72</v>
      </c>
      <c r="D73" s="10">
        <f t="shared" si="1"/>
        <v>1</v>
      </c>
      <c r="E73" s="10">
        <f t="shared" si="2"/>
        <v>1</v>
      </c>
      <c r="F73" s="10">
        <f t="shared" si="3"/>
        <v>1</v>
      </c>
      <c r="G73" s="10" t="str">
        <f>VLOOKUP(A73,Courier_compnay_invoice!B:C,2,0)</f>
        <v>1</v>
      </c>
      <c r="H73" s="8">
        <f t="shared" si="4"/>
        <v>1</v>
      </c>
      <c r="I73" s="10" t="str">
        <f>VLOOKUP(A73,'Company X - Pincode Zones'!A:D,4,0)</f>
        <v>b</v>
      </c>
      <c r="J73" s="10" t="str">
        <f>VLOOKUP(I73,'Company X - Pincode Zones'!D:E,2,0)</f>
        <v>Forward charges</v>
      </c>
      <c r="K73" s="10" t="str">
        <f t="shared" si="6"/>
        <v>NA</v>
      </c>
      <c r="L73" s="10" t="str">
        <f>VLOOKUP(A73,Courier_compnay_invoice!B:F,5,0)</f>
        <v>d</v>
      </c>
      <c r="M73" s="7">
        <f>IFS(I73="a",(Curioer_Rate!$B$5+((D73-0.5)*2)*Curioer_Rate!$C$5),
     I73 ="b",(Curioer_Rate!$B$6+((D73-0.5)*2)*Curioer_Rate!$C$6),
     I73="c",(Curioer_Rate!$B$7+((D73-0.5)*2)*Curioer_Rate!$C$7),
     I73="d",(Curioer_Rate!$B$8+((D73-0.5)*2)*Curioer_Rate!$C$8),
     I73="e",(Curioer_Rate!$B$9+((D73-0.5)*2)*Curioer_Rate!$C$9))</f>
        <v>61.3</v>
      </c>
      <c r="N73" s="7" t="str">
        <f>VLOOKUP(A73,Courier_compnay_invoice!B:H,7,0)</f>
        <v>90.2</v>
      </c>
      <c r="O73" s="7">
        <f t="shared" si="5"/>
        <v>-28.9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8" t="s">
        <v>159</v>
      </c>
      <c r="B74" s="8" t="s">
        <v>160</v>
      </c>
      <c r="C74" s="9">
        <f>SUMIF('Company X - order Report'!$A:$A,A74,'Company X - order Report'!$E:$E)</f>
        <v>0.563</v>
      </c>
      <c r="D74" s="10">
        <f t="shared" si="1"/>
        <v>1</v>
      </c>
      <c r="E74" s="10">
        <f t="shared" si="2"/>
        <v>1</v>
      </c>
      <c r="F74" s="10">
        <f t="shared" si="3"/>
        <v>1</v>
      </c>
      <c r="G74" s="10" t="str">
        <f>VLOOKUP(A74,Courier_compnay_invoice!B:C,2,0)</f>
        <v>0.61</v>
      </c>
      <c r="H74" s="8">
        <f t="shared" si="4"/>
        <v>1</v>
      </c>
      <c r="I74" s="10" t="str">
        <f>VLOOKUP(A74,'Company X - Pincode Zones'!A:D,4,0)</f>
        <v>b</v>
      </c>
      <c r="J74" s="10" t="str">
        <f>VLOOKUP(I74,'Company X - Pincode Zones'!D:E,2,0)</f>
        <v>Forward charges</v>
      </c>
      <c r="K74" s="10" t="str">
        <f t="shared" si="6"/>
        <v>NA</v>
      </c>
      <c r="L74" s="10" t="str">
        <f>VLOOKUP(A74,Courier_compnay_invoice!B:F,5,0)</f>
        <v>d</v>
      </c>
      <c r="M74" s="7">
        <f>IFS(I74="a",(Curioer_Rate!$B$5+((D74-0.5)*2)*Curioer_Rate!$C$5),
     I74 ="b",(Curioer_Rate!$B$6+((D74-0.5)*2)*Curioer_Rate!$C$6),
     I74="c",(Curioer_Rate!$B$7+((D74-0.5)*2)*Curioer_Rate!$C$7),
     I74="d",(Curioer_Rate!$B$8+((D74-0.5)*2)*Curioer_Rate!$C$8),
     I74="e",(Curioer_Rate!$B$9+((D74-0.5)*2)*Curioer_Rate!$C$9))</f>
        <v>61.3</v>
      </c>
      <c r="N74" s="7" t="str">
        <f>VLOOKUP(A74,Courier_compnay_invoice!B:H,7,0)</f>
        <v>90.2</v>
      </c>
      <c r="O74" s="7">
        <f t="shared" si="5"/>
        <v>-28.9</v>
      </c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8" t="s">
        <v>161</v>
      </c>
      <c r="B75" s="8" t="s">
        <v>162</v>
      </c>
      <c r="C75" s="9">
        <f>SUMIF('Company X - order Report'!$A:$A,A75,'Company X - order Report'!$E:$E)</f>
        <v>0.127</v>
      </c>
      <c r="D75" s="10">
        <f t="shared" si="1"/>
        <v>0.5</v>
      </c>
      <c r="E75" s="10">
        <f t="shared" si="2"/>
        <v>1</v>
      </c>
      <c r="F75" s="10">
        <f t="shared" si="3"/>
        <v>0</v>
      </c>
      <c r="G75" s="10" t="str">
        <f>VLOOKUP(A75,Courier_compnay_invoice!B:C,2,0)</f>
        <v>0.15</v>
      </c>
      <c r="H75" s="8">
        <f t="shared" si="4"/>
        <v>0.5</v>
      </c>
      <c r="I75" s="10" t="str">
        <f>VLOOKUP(A75,'Company X - Pincode Zones'!A:D,4,0)</f>
        <v>b</v>
      </c>
      <c r="J75" s="10" t="str">
        <f>VLOOKUP(I75,'Company X - Pincode Zones'!D:E,2,0)</f>
        <v>Forward charges</v>
      </c>
      <c r="K75" s="10" t="str">
        <f t="shared" si="6"/>
        <v>NA</v>
      </c>
      <c r="L75" s="10" t="str">
        <f>VLOOKUP(A75,Courier_compnay_invoice!B:F,5,0)</f>
        <v>d</v>
      </c>
      <c r="M75" s="7">
        <f>IFS(I75="a",(Curioer_Rate!$B$5+((D75-0.5)*2)*Curioer_Rate!$C$5),
     I75 ="b",(Curioer_Rate!$B$6+((D75-0.5)*2)*Curioer_Rate!$C$6),
     I75="c",(Curioer_Rate!$B$7+((D75-0.5)*2)*Curioer_Rate!$C$7),
     I75="d",(Curioer_Rate!$B$8+((D75-0.5)*2)*Curioer_Rate!$C$8),
     I75="e",(Curioer_Rate!$B$9+((D75-0.5)*2)*Curioer_Rate!$C$9))</f>
        <v>33</v>
      </c>
      <c r="N75" s="7" t="str">
        <f>VLOOKUP(A75,Courier_compnay_invoice!B:H,7,0)</f>
        <v>86.7</v>
      </c>
      <c r="O75" s="7">
        <f t="shared" si="5"/>
        <v>-53.7</v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8" t="s">
        <v>163</v>
      </c>
      <c r="B76" s="8" t="s">
        <v>164</v>
      </c>
      <c r="C76" s="9">
        <f>SUMIF('Company X - order Report'!$A:$A,A76,'Company X - order Report'!$E:$E)</f>
        <v>0.22</v>
      </c>
      <c r="D76" s="10">
        <f t="shared" si="1"/>
        <v>0.5</v>
      </c>
      <c r="E76" s="10">
        <f t="shared" si="2"/>
        <v>1</v>
      </c>
      <c r="F76" s="10">
        <f t="shared" si="3"/>
        <v>0</v>
      </c>
      <c r="G76" s="10" t="str">
        <f>VLOOKUP(A76,Courier_compnay_invoice!B:C,2,0)</f>
        <v>0.2</v>
      </c>
      <c r="H76" s="8">
        <f t="shared" si="4"/>
        <v>0.5</v>
      </c>
      <c r="I76" s="10" t="str">
        <f>VLOOKUP(A76,'Company X - Pincode Zones'!A:D,4,0)</f>
        <v>b</v>
      </c>
      <c r="J76" s="10" t="str">
        <f>VLOOKUP(I76,'Company X - Pincode Zones'!D:E,2,0)</f>
        <v>Forward charges</v>
      </c>
      <c r="K76" s="10" t="str">
        <f t="shared" si="6"/>
        <v>NA</v>
      </c>
      <c r="L76" s="10" t="str">
        <f>VLOOKUP(A76,Courier_compnay_invoice!B:F,5,0)</f>
        <v>d</v>
      </c>
      <c r="M76" s="7">
        <f>IFS(I76="a",(Curioer_Rate!$B$5+((D76-0.5)*2)*Curioer_Rate!$C$5),
     I76 ="b",(Curioer_Rate!$B$6+((D76-0.5)*2)*Curioer_Rate!$C$6),
     I76="c",(Curioer_Rate!$B$7+((D76-0.5)*2)*Curioer_Rate!$C$7),
     I76="d",(Curioer_Rate!$B$8+((D76-0.5)*2)*Curioer_Rate!$C$8),
     I76="e",(Curioer_Rate!$B$9+((D76-0.5)*2)*Curioer_Rate!$C$9))</f>
        <v>33</v>
      </c>
      <c r="N76" s="7" t="str">
        <f>VLOOKUP(A76,Courier_compnay_invoice!B:H,7,0)</f>
        <v>45.4</v>
      </c>
      <c r="O76" s="7">
        <f t="shared" si="5"/>
        <v>-12.4</v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8" t="s">
        <v>165</v>
      </c>
      <c r="B77" s="8" t="s">
        <v>166</v>
      </c>
      <c r="C77" s="9">
        <f>SUMIF('Company X - order Report'!$A:$A,A77,'Company X - order Report'!$E:$E)</f>
        <v>0.554</v>
      </c>
      <c r="D77" s="10">
        <f t="shared" si="1"/>
        <v>1</v>
      </c>
      <c r="E77" s="10">
        <f t="shared" si="2"/>
        <v>1</v>
      </c>
      <c r="F77" s="10">
        <f t="shared" si="3"/>
        <v>1</v>
      </c>
      <c r="G77" s="10" t="str">
        <f>VLOOKUP(A77,Courier_compnay_invoice!B:C,2,0)</f>
        <v>0.7</v>
      </c>
      <c r="H77" s="8">
        <f t="shared" si="4"/>
        <v>1</v>
      </c>
      <c r="I77" s="10" t="str">
        <f>VLOOKUP(A77,'Company X - Pincode Zones'!A:D,4,0)</f>
        <v>b</v>
      </c>
      <c r="J77" s="10" t="str">
        <f>VLOOKUP(I77,'Company X - Pincode Zones'!D:E,2,0)</f>
        <v>Forward charges</v>
      </c>
      <c r="K77" s="10" t="str">
        <f t="shared" si="6"/>
        <v>NA</v>
      </c>
      <c r="L77" s="10" t="str">
        <f>VLOOKUP(A77,Courier_compnay_invoice!B:F,5,0)</f>
        <v>d</v>
      </c>
      <c r="M77" s="7">
        <f>IFS(I77="a",(Curioer_Rate!$B$5+((D77-0.5)*2)*Curioer_Rate!$C$5),
     I77 ="b",(Curioer_Rate!$B$6+((D77-0.5)*2)*Curioer_Rate!$C$6),
     I77="c",(Curioer_Rate!$B$7+((D77-0.5)*2)*Curioer_Rate!$C$7),
     I77="d",(Curioer_Rate!$B$8+((D77-0.5)*2)*Curioer_Rate!$C$8),
     I77="e",(Curioer_Rate!$B$9+((D77-0.5)*2)*Curioer_Rate!$C$9))</f>
        <v>61.3</v>
      </c>
      <c r="N77" s="7" t="str">
        <f>VLOOKUP(A77,Courier_compnay_invoice!B:H,7,0)</f>
        <v>90.2</v>
      </c>
      <c r="O77" s="7">
        <f t="shared" si="5"/>
        <v>-28.9</v>
      </c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8" t="s">
        <v>167</v>
      </c>
      <c r="B78" s="8" t="s">
        <v>168</v>
      </c>
      <c r="C78" s="9">
        <f>SUMIF('Company X - order Report'!$A:$A,A78,'Company X - order Report'!$E:$E)</f>
        <v>0.5</v>
      </c>
      <c r="D78" s="10">
        <f t="shared" si="1"/>
        <v>0.5</v>
      </c>
      <c r="E78" s="10">
        <f t="shared" si="2"/>
        <v>1</v>
      </c>
      <c r="F78" s="10">
        <f t="shared" si="3"/>
        <v>0</v>
      </c>
      <c r="G78" s="10" t="str">
        <f>VLOOKUP(A78,Courier_compnay_invoice!B:C,2,0)</f>
        <v>0.5</v>
      </c>
      <c r="H78" s="8">
        <f t="shared" si="4"/>
        <v>0.5</v>
      </c>
      <c r="I78" s="10" t="str">
        <f>VLOOKUP(A78,'Company X - Pincode Zones'!A:D,4,0)</f>
        <v>b</v>
      </c>
      <c r="J78" s="10" t="str">
        <f>VLOOKUP(I78,'Company X - Pincode Zones'!D:E,2,0)</f>
        <v>Forward charges</v>
      </c>
      <c r="K78" s="10" t="str">
        <f t="shared" si="6"/>
        <v>NA</v>
      </c>
      <c r="L78" s="10" t="str">
        <f>VLOOKUP(A78,Courier_compnay_invoice!B:F,5,0)</f>
        <v>d</v>
      </c>
      <c r="M78" s="7">
        <f>IFS(I78="a",(Curioer_Rate!$B$5+((D78-0.5)*2)*Curioer_Rate!$C$5),
     I78 ="b",(Curioer_Rate!$B$6+((D78-0.5)*2)*Curioer_Rate!$C$6),
     I78="c",(Curioer_Rate!$B$7+((D78-0.5)*2)*Curioer_Rate!$C$7),
     I78="d",(Curioer_Rate!$B$8+((D78-0.5)*2)*Curioer_Rate!$C$8),
     I78="e",(Curioer_Rate!$B$9+((D78-0.5)*2)*Curioer_Rate!$C$9))</f>
        <v>33</v>
      </c>
      <c r="N78" s="7" t="str">
        <f>VLOOKUP(A78,Courier_compnay_invoice!B:H,7,0)</f>
        <v>45.4</v>
      </c>
      <c r="O78" s="7">
        <f t="shared" si="5"/>
        <v>-12.4</v>
      </c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8" t="s">
        <v>169</v>
      </c>
      <c r="B79" s="8" t="s">
        <v>170</v>
      </c>
      <c r="C79" s="9">
        <f>SUMIF('Company X - order Report'!$A:$A,A79,'Company X - order Report'!$E:$E)</f>
        <v>2.098</v>
      </c>
      <c r="D79" s="10">
        <f t="shared" si="1"/>
        <v>2.5</v>
      </c>
      <c r="E79" s="10">
        <f t="shared" si="2"/>
        <v>1</v>
      </c>
      <c r="F79" s="10">
        <f t="shared" si="3"/>
        <v>4</v>
      </c>
      <c r="G79" s="10" t="str">
        <f>VLOOKUP(A79,Courier_compnay_invoice!B:C,2,0)</f>
        <v>2.1</v>
      </c>
      <c r="H79" s="8">
        <f t="shared" si="4"/>
        <v>2.5</v>
      </c>
      <c r="I79" s="10" t="str">
        <f>VLOOKUP(A79,'Company X - Pincode Zones'!A:D,4,0)</f>
        <v>b</v>
      </c>
      <c r="J79" s="10" t="str">
        <f>VLOOKUP(I79,'Company X - Pincode Zones'!D:E,2,0)</f>
        <v>Forward charges</v>
      </c>
      <c r="K79" s="10" t="str">
        <f t="shared" si="6"/>
        <v>NA</v>
      </c>
      <c r="L79" s="10" t="str">
        <f>VLOOKUP(A79,Courier_compnay_invoice!B:F,5,0)</f>
        <v>d</v>
      </c>
      <c r="M79" s="7">
        <f>IFS(I79="a",(Curioer_Rate!$B$5+((D79-0.5)*2)*Curioer_Rate!$C$5),
     I79 ="b",(Curioer_Rate!$B$6+((D79-0.5)*2)*Curioer_Rate!$C$6),
     I79="c",(Curioer_Rate!$B$7+((D79-0.5)*2)*Curioer_Rate!$C$7),
     I79="d",(Curioer_Rate!$B$8+((D79-0.5)*2)*Curioer_Rate!$C$8),
     I79="e",(Curioer_Rate!$B$9+((D79-0.5)*2)*Curioer_Rate!$C$9))</f>
        <v>146.2</v>
      </c>
      <c r="N79" s="7" t="str">
        <f>VLOOKUP(A79,Courier_compnay_invoice!B:H,7,0)</f>
        <v>224.6</v>
      </c>
      <c r="O79" s="7">
        <f t="shared" si="5"/>
        <v>-78.4</v>
      </c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8" t="s">
        <v>171</v>
      </c>
      <c r="B80" s="8" t="s">
        <v>172</v>
      </c>
      <c r="C80" s="9">
        <f>SUMIF('Company X - order Report'!$A:$A,A80,'Company X - order Report'!$E:$E)</f>
        <v>0.177</v>
      </c>
      <c r="D80" s="10">
        <f t="shared" si="1"/>
        <v>0.5</v>
      </c>
      <c r="E80" s="10">
        <f t="shared" si="2"/>
        <v>1</v>
      </c>
      <c r="F80" s="10">
        <f t="shared" si="3"/>
        <v>0</v>
      </c>
      <c r="G80" s="10" t="str">
        <f>VLOOKUP(A80,Courier_compnay_invoice!B:C,2,0)</f>
        <v>0.2</v>
      </c>
      <c r="H80" s="8">
        <f t="shared" si="4"/>
        <v>0.5</v>
      </c>
      <c r="I80" s="10" t="str">
        <f>VLOOKUP(A80,'Company X - Pincode Zones'!A:D,4,0)</f>
        <v>b</v>
      </c>
      <c r="J80" s="10" t="str">
        <f>VLOOKUP(I80,'Company X - Pincode Zones'!D:E,2,0)</f>
        <v>Forward charges</v>
      </c>
      <c r="K80" s="10" t="str">
        <f t="shared" si="6"/>
        <v>NA</v>
      </c>
      <c r="L80" s="10" t="str">
        <f>VLOOKUP(A80,Courier_compnay_invoice!B:F,5,0)</f>
        <v>d</v>
      </c>
      <c r="M80" s="7">
        <f>IFS(I80="a",(Curioer_Rate!$B$5+((D80-0.5)*2)*Curioer_Rate!$C$5),
     I80 ="b",(Curioer_Rate!$B$6+((D80-0.5)*2)*Curioer_Rate!$C$6),
     I80="c",(Curioer_Rate!$B$7+((D80-0.5)*2)*Curioer_Rate!$C$7),
     I80="d",(Curioer_Rate!$B$8+((D80-0.5)*2)*Curioer_Rate!$C$8),
     I80="e",(Curioer_Rate!$B$9+((D80-0.5)*2)*Curioer_Rate!$C$9))</f>
        <v>33</v>
      </c>
      <c r="N80" s="7" t="str">
        <f>VLOOKUP(A80,Courier_compnay_invoice!B:H,7,0)</f>
        <v>45.4</v>
      </c>
      <c r="O80" s="7">
        <f t="shared" si="5"/>
        <v>-12.4</v>
      </c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8" t="s">
        <v>173</v>
      </c>
      <c r="B81" s="8" t="s">
        <v>174</v>
      </c>
      <c r="C81" s="9">
        <f>SUMIF('Company X - order Report'!$A:$A,A81,'Company X - order Report'!$E:$E)</f>
        <v>0.165</v>
      </c>
      <c r="D81" s="10">
        <f t="shared" si="1"/>
        <v>0.5</v>
      </c>
      <c r="E81" s="10">
        <f t="shared" si="2"/>
        <v>1</v>
      </c>
      <c r="F81" s="10">
        <f t="shared" si="3"/>
        <v>0</v>
      </c>
      <c r="G81" s="10" t="str">
        <f>VLOOKUP(A81,Courier_compnay_invoice!B:C,2,0)</f>
        <v>0.2</v>
      </c>
      <c r="H81" s="8">
        <f t="shared" si="4"/>
        <v>0.5</v>
      </c>
      <c r="I81" s="10" t="str">
        <f>VLOOKUP(A81,'Company X - Pincode Zones'!A:D,4,0)</f>
        <v>b</v>
      </c>
      <c r="J81" s="10" t="str">
        <f>VLOOKUP(I81,'Company X - Pincode Zones'!D:E,2,0)</f>
        <v>Forward charges</v>
      </c>
      <c r="K81" s="10" t="str">
        <f t="shared" si="6"/>
        <v>NA</v>
      </c>
      <c r="L81" s="10" t="str">
        <f>VLOOKUP(A81,Courier_compnay_invoice!B:F,5,0)</f>
        <v>d</v>
      </c>
      <c r="M81" s="7">
        <f>IFS(I81="a",(Curioer_Rate!$B$5+((D81-0.5)*2)*Curioer_Rate!$C$5),
     I81 ="b",(Curioer_Rate!$B$6+((D81-0.5)*2)*Curioer_Rate!$C$6),
     I81="c",(Curioer_Rate!$B$7+((D81-0.5)*2)*Curioer_Rate!$C$7),
     I81="d",(Curioer_Rate!$B$8+((D81-0.5)*2)*Curioer_Rate!$C$8),
     I81="e",(Curioer_Rate!$B$9+((D81-0.5)*2)*Curioer_Rate!$C$9))</f>
        <v>33</v>
      </c>
      <c r="N81" s="7" t="str">
        <f>VLOOKUP(A81,Courier_compnay_invoice!B:H,7,0)</f>
        <v>45.4</v>
      </c>
      <c r="O81" s="7">
        <f t="shared" si="5"/>
        <v>-12.4</v>
      </c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8" t="s">
        <v>175</v>
      </c>
      <c r="B82" s="8" t="s">
        <v>176</v>
      </c>
      <c r="C82" s="9">
        <f>SUMIF('Company X - order Report'!$A:$A,A82,'Company X - order Report'!$E:$E)</f>
        <v>0.24</v>
      </c>
      <c r="D82" s="10">
        <f t="shared" si="1"/>
        <v>0.5</v>
      </c>
      <c r="E82" s="10">
        <f t="shared" si="2"/>
        <v>1</v>
      </c>
      <c r="F82" s="10">
        <f t="shared" si="3"/>
        <v>0</v>
      </c>
      <c r="G82" s="10" t="str">
        <f>VLOOKUP(A82,Courier_compnay_invoice!B:C,2,0)</f>
        <v>0.15</v>
      </c>
      <c r="H82" s="8">
        <f t="shared" si="4"/>
        <v>0.5</v>
      </c>
      <c r="I82" s="10" t="str">
        <f>VLOOKUP(A82,'Company X - Pincode Zones'!A:D,4,0)</f>
        <v>b</v>
      </c>
      <c r="J82" s="10" t="str">
        <f>VLOOKUP(I82,'Company X - Pincode Zones'!D:E,2,0)</f>
        <v>Forward charges</v>
      </c>
      <c r="K82" s="10" t="str">
        <f t="shared" si="6"/>
        <v>NA</v>
      </c>
      <c r="L82" s="10" t="str">
        <f>VLOOKUP(A82,Courier_compnay_invoice!B:F,5,0)</f>
        <v>d</v>
      </c>
      <c r="M82" s="7">
        <f>IFS(I82="a",(Curioer_Rate!$B$5+((D82-0.5)*2)*Curioer_Rate!$C$5),
     I82 ="b",(Curioer_Rate!$B$6+((D82-0.5)*2)*Curioer_Rate!$C$6),
     I82="c",(Curioer_Rate!$B$7+((D82-0.5)*2)*Curioer_Rate!$C$7),
     I82="d",(Curioer_Rate!$B$8+((D82-0.5)*2)*Curioer_Rate!$C$8),
     I82="e",(Curioer_Rate!$B$9+((D82-0.5)*2)*Curioer_Rate!$C$9))</f>
        <v>33</v>
      </c>
      <c r="N82" s="7" t="str">
        <f>VLOOKUP(A82,Courier_compnay_invoice!B:H,7,0)</f>
        <v>45.4</v>
      </c>
      <c r="O82" s="7">
        <f t="shared" si="5"/>
        <v>-12.4</v>
      </c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8" t="s">
        <v>177</v>
      </c>
      <c r="B83" s="8" t="s">
        <v>178</v>
      </c>
      <c r="C83" s="9">
        <f>SUMIF('Company X - order Report'!$A:$A,A83,'Company X - order Report'!$E:$E)</f>
        <v>0.755</v>
      </c>
      <c r="D83" s="10">
        <f t="shared" si="1"/>
        <v>1</v>
      </c>
      <c r="E83" s="10">
        <f t="shared" si="2"/>
        <v>1</v>
      </c>
      <c r="F83" s="10">
        <f t="shared" si="3"/>
        <v>1</v>
      </c>
      <c r="G83" s="10" t="str">
        <f>VLOOKUP(A83,Courier_compnay_invoice!B:C,2,0)</f>
        <v>0.8</v>
      </c>
      <c r="H83" s="8">
        <f t="shared" si="4"/>
        <v>1</v>
      </c>
      <c r="I83" s="10" t="str">
        <f>VLOOKUP(A83,'Company X - Pincode Zones'!A:D,4,0)</f>
        <v>b</v>
      </c>
      <c r="J83" s="10" t="str">
        <f>VLOOKUP(I83,'Company X - Pincode Zones'!D:E,2,0)</f>
        <v>Forward charges</v>
      </c>
      <c r="K83" s="10" t="str">
        <f t="shared" si="6"/>
        <v>NA</v>
      </c>
      <c r="L83" s="10" t="str">
        <f>VLOOKUP(A83,Courier_compnay_invoice!B:F,5,0)</f>
        <v>d</v>
      </c>
      <c r="M83" s="7">
        <f>IFS(I83="a",(Curioer_Rate!$B$5+((D83-0.5)*2)*Curioer_Rate!$C$5),
     I83 ="b",(Curioer_Rate!$B$6+((D83-0.5)*2)*Curioer_Rate!$C$6),
     I83="c",(Curioer_Rate!$B$7+((D83-0.5)*2)*Curioer_Rate!$C$7),
     I83="d",(Curioer_Rate!$B$8+((D83-0.5)*2)*Curioer_Rate!$C$8),
     I83="e",(Curioer_Rate!$B$9+((D83-0.5)*2)*Curioer_Rate!$C$9))</f>
        <v>61.3</v>
      </c>
      <c r="N83" s="7" t="str">
        <f>VLOOKUP(A83,Courier_compnay_invoice!B:H,7,0)</f>
        <v>90.2</v>
      </c>
      <c r="O83" s="7">
        <f t="shared" si="5"/>
        <v>-28.9</v>
      </c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8" t="s">
        <v>179</v>
      </c>
      <c r="B84" s="8" t="s">
        <v>180</v>
      </c>
      <c r="C84" s="9">
        <f>SUMIF('Company X - order Report'!$A:$A,A84,'Company X - order Report'!$E:$E)</f>
        <v>0.24</v>
      </c>
      <c r="D84" s="10">
        <f t="shared" si="1"/>
        <v>0.5</v>
      </c>
      <c r="E84" s="10">
        <f t="shared" si="2"/>
        <v>1</v>
      </c>
      <c r="F84" s="10">
        <f t="shared" si="3"/>
        <v>0</v>
      </c>
      <c r="G84" s="10" t="str">
        <f>VLOOKUP(A84,Courier_compnay_invoice!B:C,2,0)</f>
        <v>0.2</v>
      </c>
      <c r="H84" s="8">
        <f t="shared" si="4"/>
        <v>0.5</v>
      </c>
      <c r="I84" s="10" t="str">
        <f>VLOOKUP(A84,'Company X - Pincode Zones'!A:D,4,0)</f>
        <v>b</v>
      </c>
      <c r="J84" s="10" t="str">
        <f>VLOOKUP(I84,'Company X - Pincode Zones'!D:E,2,0)</f>
        <v>Forward charges</v>
      </c>
      <c r="K84" s="10" t="str">
        <f t="shared" si="6"/>
        <v>NA</v>
      </c>
      <c r="L84" s="10" t="str">
        <f>VLOOKUP(A84,Courier_compnay_invoice!B:F,5,0)</f>
        <v>d</v>
      </c>
      <c r="M84" s="7">
        <f>IFS(I84="a",(Curioer_Rate!$B$5+((D84-0.5)*2)*Curioer_Rate!$C$5),
     I84 ="b",(Curioer_Rate!$B$6+((D84-0.5)*2)*Curioer_Rate!$C$6),
     I84="c",(Curioer_Rate!$B$7+((D84-0.5)*2)*Curioer_Rate!$C$7),
     I84="d",(Curioer_Rate!$B$8+((D84-0.5)*2)*Curioer_Rate!$C$8),
     I84="e",(Curioer_Rate!$B$9+((D84-0.5)*2)*Curioer_Rate!$C$9))</f>
        <v>33</v>
      </c>
      <c r="N84" s="7" t="str">
        <f>VLOOKUP(A84,Courier_compnay_invoice!B:H,7,0)</f>
        <v>45.4</v>
      </c>
      <c r="O84" s="7">
        <f t="shared" si="5"/>
        <v>-12.4</v>
      </c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8" t="s">
        <v>181</v>
      </c>
      <c r="B85" s="8" t="s">
        <v>182</v>
      </c>
      <c r="C85" s="9">
        <f>SUMIF('Company X - order Report'!$A:$A,A85,'Company X - order Report'!$E:$E)</f>
        <v>0.477</v>
      </c>
      <c r="D85" s="10">
        <f t="shared" si="1"/>
        <v>0.5</v>
      </c>
      <c r="E85" s="10">
        <f t="shared" si="2"/>
        <v>1</v>
      </c>
      <c r="F85" s="10">
        <f t="shared" si="3"/>
        <v>0</v>
      </c>
      <c r="G85" s="10" t="str">
        <f>VLOOKUP(A85,Courier_compnay_invoice!B:C,2,0)</f>
        <v>0.5</v>
      </c>
      <c r="H85" s="8">
        <f t="shared" si="4"/>
        <v>0.5</v>
      </c>
      <c r="I85" s="10" t="str">
        <f>VLOOKUP(A85,'Company X - Pincode Zones'!A:D,4,0)</f>
        <v>b</v>
      </c>
      <c r="J85" s="10" t="str">
        <f>VLOOKUP(I85,'Company X - Pincode Zones'!D:E,2,0)</f>
        <v>Forward charges</v>
      </c>
      <c r="K85" s="10" t="str">
        <f t="shared" si="6"/>
        <v>NA</v>
      </c>
      <c r="L85" s="10" t="str">
        <f>VLOOKUP(A85,Courier_compnay_invoice!B:F,5,0)</f>
        <v>d</v>
      </c>
      <c r="M85" s="7">
        <f>IFS(I85="a",(Curioer_Rate!$B$5+((D85-0.5)*2)*Curioer_Rate!$C$5),
     I85 ="b",(Curioer_Rate!$B$6+((D85-0.5)*2)*Curioer_Rate!$C$6),
     I85="c",(Curioer_Rate!$B$7+((D85-0.5)*2)*Curioer_Rate!$C$7),
     I85="d",(Curioer_Rate!$B$8+((D85-0.5)*2)*Curioer_Rate!$C$8),
     I85="e",(Curioer_Rate!$B$9+((D85-0.5)*2)*Curioer_Rate!$C$9))</f>
        <v>33</v>
      </c>
      <c r="N85" s="7" t="str">
        <f>VLOOKUP(A85,Courier_compnay_invoice!B:H,7,0)</f>
        <v>45.4</v>
      </c>
      <c r="O85" s="7">
        <f t="shared" si="5"/>
        <v>-12.4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8" t="s">
        <v>183</v>
      </c>
      <c r="B86" s="8" t="s">
        <v>184</v>
      </c>
      <c r="C86" s="9">
        <f>SUMIF('Company X - order Report'!$A:$A,A86,'Company X - order Report'!$E:$E)</f>
        <v>0.558</v>
      </c>
      <c r="D86" s="10">
        <f t="shared" si="1"/>
        <v>1</v>
      </c>
      <c r="E86" s="10">
        <f t="shared" si="2"/>
        <v>1</v>
      </c>
      <c r="F86" s="10">
        <f t="shared" si="3"/>
        <v>1</v>
      </c>
      <c r="G86" s="10" t="str">
        <f>VLOOKUP(A86,Courier_compnay_invoice!B:C,2,0)</f>
        <v>0.6</v>
      </c>
      <c r="H86" s="8">
        <f t="shared" si="4"/>
        <v>1</v>
      </c>
      <c r="I86" s="10" t="str">
        <f>VLOOKUP(A86,'Company X - Pincode Zones'!A:D,4,0)</f>
        <v>b</v>
      </c>
      <c r="J86" s="10" t="str">
        <f>VLOOKUP(I86,'Company X - Pincode Zones'!D:E,2,0)</f>
        <v>Forward charges</v>
      </c>
      <c r="K86" s="10" t="str">
        <f t="shared" si="6"/>
        <v>NA</v>
      </c>
      <c r="L86" s="10" t="str">
        <f>VLOOKUP(A86,Courier_compnay_invoice!B:F,5,0)</f>
        <v>d</v>
      </c>
      <c r="M86" s="7">
        <f>IFS(I86="a",(Curioer_Rate!$B$5+((D86-0.5)*2)*Curioer_Rate!$C$5),
     I86 ="b",(Curioer_Rate!$B$6+((D86-0.5)*2)*Curioer_Rate!$C$6),
     I86="c",(Curioer_Rate!$B$7+((D86-0.5)*2)*Curioer_Rate!$C$7),
     I86="d",(Curioer_Rate!$B$8+((D86-0.5)*2)*Curioer_Rate!$C$8),
     I86="e",(Curioer_Rate!$B$9+((D86-0.5)*2)*Curioer_Rate!$C$9))</f>
        <v>61.3</v>
      </c>
      <c r="N86" s="7" t="str">
        <f>VLOOKUP(A86,Courier_compnay_invoice!B:H,7,0)</f>
        <v>90.2</v>
      </c>
      <c r="O86" s="7">
        <f t="shared" si="5"/>
        <v>-28.9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8" t="s">
        <v>185</v>
      </c>
      <c r="B87" s="8" t="s">
        <v>186</v>
      </c>
      <c r="C87" s="9">
        <f>SUMIF('Company X - order Report'!$A:$A,A87,'Company X - order Report'!$E:$E)</f>
        <v>1.376</v>
      </c>
      <c r="D87" s="10">
        <f t="shared" si="1"/>
        <v>1.5</v>
      </c>
      <c r="E87" s="10">
        <f t="shared" si="2"/>
        <v>1</v>
      </c>
      <c r="F87" s="10">
        <f t="shared" si="3"/>
        <v>2</v>
      </c>
      <c r="G87" s="10" t="str">
        <f>VLOOKUP(A87,Courier_compnay_invoice!B:C,2,0)</f>
        <v>1.1</v>
      </c>
      <c r="H87" s="8">
        <f t="shared" si="4"/>
        <v>1.5</v>
      </c>
      <c r="I87" s="10" t="str">
        <f>VLOOKUP(A87,'Company X - Pincode Zones'!A:D,4,0)</f>
        <v>b</v>
      </c>
      <c r="J87" s="10" t="str">
        <f>VLOOKUP(I87,'Company X - Pincode Zones'!D:E,2,0)</f>
        <v>Forward charges</v>
      </c>
      <c r="K87" s="10" t="str">
        <f t="shared" si="6"/>
        <v>NA</v>
      </c>
      <c r="L87" s="10" t="str">
        <f>VLOOKUP(A87,Courier_compnay_invoice!B:F,5,0)</f>
        <v>d</v>
      </c>
      <c r="M87" s="7">
        <f>IFS(I87="a",(Curioer_Rate!$B$5+((D87-0.5)*2)*Curioer_Rate!$C$5),
     I87 ="b",(Curioer_Rate!$B$6+((D87-0.5)*2)*Curioer_Rate!$C$6),
     I87="c",(Curioer_Rate!$B$7+((D87-0.5)*2)*Curioer_Rate!$C$7),
     I87="d",(Curioer_Rate!$B$8+((D87-0.5)*2)*Curioer_Rate!$C$8),
     I87="e",(Curioer_Rate!$B$9+((D87-0.5)*2)*Curioer_Rate!$C$9))</f>
        <v>89.6</v>
      </c>
      <c r="N87" s="7" t="str">
        <f>VLOOKUP(A87,Courier_compnay_invoice!B:H,7,0)</f>
        <v>135</v>
      </c>
      <c r="O87" s="7">
        <f t="shared" si="5"/>
        <v>-45.4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8" t="s">
        <v>187</v>
      </c>
      <c r="B88" s="8" t="s">
        <v>188</v>
      </c>
      <c r="C88" s="9">
        <f>SUMIF('Company X - order Report'!$A:$A,A88,'Company X - order Report'!$E:$E)</f>
        <v>0.065</v>
      </c>
      <c r="D88" s="10">
        <f t="shared" si="1"/>
        <v>0.5</v>
      </c>
      <c r="E88" s="10">
        <f t="shared" si="2"/>
        <v>1</v>
      </c>
      <c r="F88" s="10">
        <f t="shared" si="3"/>
        <v>0</v>
      </c>
      <c r="G88" s="10" t="str">
        <f>VLOOKUP(A88,Courier_compnay_invoice!B:C,2,0)</f>
        <v>0.15</v>
      </c>
      <c r="H88" s="8">
        <f t="shared" si="4"/>
        <v>0.5</v>
      </c>
      <c r="I88" s="10" t="str">
        <f>VLOOKUP(A88,'Company X - Pincode Zones'!A:D,4,0)</f>
        <v>b</v>
      </c>
      <c r="J88" s="10" t="str">
        <f>VLOOKUP(I88,'Company X - Pincode Zones'!D:E,2,0)</f>
        <v>Forward charges</v>
      </c>
      <c r="K88" s="10" t="str">
        <f t="shared" si="6"/>
        <v>NA</v>
      </c>
      <c r="L88" s="10" t="str">
        <f>VLOOKUP(A88,Courier_compnay_invoice!B:F,5,0)</f>
        <v>d</v>
      </c>
      <c r="M88" s="7">
        <f>IFS(I88="a",(Curioer_Rate!$B$5+((D88-0.5)*2)*Curioer_Rate!$C$5),
     I88 ="b",(Curioer_Rate!$B$6+((D88-0.5)*2)*Curioer_Rate!$C$6),
     I88="c",(Curioer_Rate!$B$7+((D88-0.5)*2)*Curioer_Rate!$C$7),
     I88="d",(Curioer_Rate!$B$8+((D88-0.5)*2)*Curioer_Rate!$C$8),
     I88="e",(Curioer_Rate!$B$9+((D88-0.5)*2)*Curioer_Rate!$C$9))</f>
        <v>33</v>
      </c>
      <c r="N88" s="7" t="str">
        <f>VLOOKUP(A88,Courier_compnay_invoice!B:H,7,0)</f>
        <v>45.4</v>
      </c>
      <c r="O88" s="7">
        <f t="shared" si="5"/>
        <v>-12.4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8" t="s">
        <v>189</v>
      </c>
      <c r="B89" s="8" t="s">
        <v>190</v>
      </c>
      <c r="C89" s="9">
        <f>SUMIF('Company X - order Report'!$A:$A,A89,'Company X - order Report'!$E:$E)</f>
        <v>0.721</v>
      </c>
      <c r="D89" s="10">
        <f t="shared" si="1"/>
        <v>1</v>
      </c>
      <c r="E89" s="10">
        <f t="shared" si="2"/>
        <v>1</v>
      </c>
      <c r="F89" s="10">
        <f t="shared" si="3"/>
        <v>1</v>
      </c>
      <c r="G89" s="10" t="str">
        <f>VLOOKUP(A89,Courier_compnay_invoice!B:C,2,0)</f>
        <v>0.8</v>
      </c>
      <c r="H89" s="8">
        <f t="shared" si="4"/>
        <v>1</v>
      </c>
      <c r="I89" s="10" t="str">
        <f>VLOOKUP(A89,'Company X - Pincode Zones'!A:D,4,0)</f>
        <v>e</v>
      </c>
      <c r="J89" s="10" t="str">
        <f>VLOOKUP(I89,'Company X - Pincode Zones'!D:E,2,0)</f>
        <v>Forward and RTO charges</v>
      </c>
      <c r="K89" s="10" t="str">
        <f t="shared" si="6"/>
        <v>NA</v>
      </c>
      <c r="L89" s="10" t="str">
        <f>VLOOKUP(A89,Courier_compnay_invoice!B:F,5,0)</f>
        <v>b</v>
      </c>
      <c r="M89" s="7">
        <f>IFS(I89="a",(Curioer_Rate!$B$5+((D89-0.5)*2)*Curioer_Rate!$C$5),
     I89 ="b",(Curioer_Rate!$B$6+((D89-0.5)*2)*Curioer_Rate!$C$6),
     I89="c",(Curioer_Rate!$B$7+((D89-0.5)*2)*Curioer_Rate!$C$7),
     I89="d",(Curioer_Rate!$B$8+((D89-0.5)*2)*Curioer_Rate!$C$8),
     I89="e",(Curioer_Rate!$B$9+((D89-0.5)*2)*Curioer_Rate!$C$9))</f>
        <v>112.1</v>
      </c>
      <c r="N89" s="7" t="str">
        <f>VLOOKUP(A89,Courier_compnay_invoice!B:H,7,0)</f>
        <v>61.3</v>
      </c>
      <c r="O89" s="7">
        <f t="shared" si="5"/>
        <v>50.8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8" t="s">
        <v>191</v>
      </c>
      <c r="B90" s="8" t="s">
        <v>192</v>
      </c>
      <c r="C90" s="9">
        <f>SUMIF('Company X - order Report'!$A:$A,A90,'Company X - order Report'!$E:$E)</f>
        <v>0.27</v>
      </c>
      <c r="D90" s="10">
        <f t="shared" si="1"/>
        <v>0.5</v>
      </c>
      <c r="E90" s="10">
        <f t="shared" si="2"/>
        <v>1</v>
      </c>
      <c r="F90" s="10">
        <f t="shared" si="3"/>
        <v>0</v>
      </c>
      <c r="G90" s="10" t="str">
        <f>VLOOKUP(A90,Courier_compnay_invoice!B:C,2,0)</f>
        <v>0.3</v>
      </c>
      <c r="H90" s="8">
        <f t="shared" si="4"/>
        <v>0.5</v>
      </c>
      <c r="I90" s="10" t="str">
        <f>VLOOKUP(A90,'Company X - Pincode Zones'!A:D,4,0)</f>
        <v>e</v>
      </c>
      <c r="J90" s="10" t="str">
        <f>VLOOKUP(I90,'Company X - Pincode Zones'!D:E,2,0)</f>
        <v>Forward and RTO charges</v>
      </c>
      <c r="K90" s="10" t="str">
        <f t="shared" si="6"/>
        <v>NA</v>
      </c>
      <c r="L90" s="10" t="str">
        <f>VLOOKUP(A90,Courier_compnay_invoice!B:F,5,0)</f>
        <v>b</v>
      </c>
      <c r="M90" s="7">
        <f>IFS(I90="a",(Curioer_Rate!$B$5+((D90-0.5)*2)*Curioer_Rate!$C$5),
     I90 ="b",(Curioer_Rate!$B$6+((D90-0.5)*2)*Curioer_Rate!$C$6),
     I90="c",(Curioer_Rate!$B$7+((D90-0.5)*2)*Curioer_Rate!$C$7),
     I90="d",(Curioer_Rate!$B$8+((D90-0.5)*2)*Curioer_Rate!$C$8),
     I90="e",(Curioer_Rate!$B$9+((D90-0.5)*2)*Curioer_Rate!$C$9))</f>
        <v>56.6</v>
      </c>
      <c r="N90" s="7" t="str">
        <f>VLOOKUP(A90,Courier_compnay_invoice!B:H,7,0)</f>
        <v>33</v>
      </c>
      <c r="O90" s="7">
        <f t="shared" si="5"/>
        <v>23.6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8" t="s">
        <v>193</v>
      </c>
      <c r="B91" s="8" t="s">
        <v>194</v>
      </c>
      <c r="C91" s="9">
        <f>SUMIF('Company X - order Report'!$A:$A,A91,'Company X - order Report'!$E:$E)</f>
        <v>1.676</v>
      </c>
      <c r="D91" s="10">
        <f t="shared" si="1"/>
        <v>2</v>
      </c>
      <c r="E91" s="10">
        <f t="shared" si="2"/>
        <v>1</v>
      </c>
      <c r="F91" s="10">
        <f t="shared" si="3"/>
        <v>3</v>
      </c>
      <c r="G91" s="10" t="str">
        <f>VLOOKUP(A91,Courier_compnay_invoice!B:C,2,0)</f>
        <v>1.6</v>
      </c>
      <c r="H91" s="8">
        <f t="shared" si="4"/>
        <v>2</v>
      </c>
      <c r="I91" s="10" t="str">
        <f>VLOOKUP(A91,'Company X - Pincode Zones'!A:D,4,0)</f>
        <v>e</v>
      </c>
      <c r="J91" s="10" t="str">
        <f>VLOOKUP(I91,'Company X - Pincode Zones'!D:E,2,0)</f>
        <v>Forward and RTO charges</v>
      </c>
      <c r="K91" s="10" t="str">
        <f t="shared" si="6"/>
        <v>NA</v>
      </c>
      <c r="L91" s="10" t="str">
        <f>VLOOKUP(A91,Courier_compnay_invoice!B:F,5,0)</f>
        <v>b</v>
      </c>
      <c r="M91" s="7">
        <f>IFS(I91="a",(Curioer_Rate!$B$5+((D91-0.5)*2)*Curioer_Rate!$C$5),
     I91 ="b",(Curioer_Rate!$B$6+((D91-0.5)*2)*Curioer_Rate!$C$6),
     I91="c",(Curioer_Rate!$B$7+((D91-0.5)*2)*Curioer_Rate!$C$7),
     I91="d",(Curioer_Rate!$B$8+((D91-0.5)*2)*Curioer_Rate!$C$8),
     I91="e",(Curioer_Rate!$B$9+((D91-0.5)*2)*Curioer_Rate!$C$9))</f>
        <v>223.1</v>
      </c>
      <c r="N91" s="7" t="str">
        <f>VLOOKUP(A91,Courier_compnay_invoice!B:H,7,0)</f>
        <v>117.9</v>
      </c>
      <c r="O91" s="7">
        <f t="shared" si="5"/>
        <v>105.2</v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8" t="s">
        <v>195</v>
      </c>
      <c r="B92" s="8" t="s">
        <v>196</v>
      </c>
      <c r="C92" s="9">
        <f>SUMIF('Company X - order Report'!$A:$A,A92,'Company X - order Report'!$E:$E)</f>
        <v>0.5</v>
      </c>
      <c r="D92" s="10">
        <f t="shared" si="1"/>
        <v>0.5</v>
      </c>
      <c r="E92" s="10">
        <f t="shared" si="2"/>
        <v>1</v>
      </c>
      <c r="F92" s="10">
        <f t="shared" si="3"/>
        <v>0</v>
      </c>
      <c r="G92" s="10" t="str">
        <f>VLOOKUP(A92,Courier_compnay_invoice!B:C,2,0)</f>
        <v>0.71</v>
      </c>
      <c r="H92" s="8">
        <f t="shared" si="4"/>
        <v>1</v>
      </c>
      <c r="I92" s="10" t="str">
        <f>VLOOKUP(A92,'Company X - Pincode Zones'!A:D,4,0)</f>
        <v>b</v>
      </c>
      <c r="J92" s="10" t="str">
        <f>VLOOKUP(I92,'Company X - Pincode Zones'!D:E,2,0)</f>
        <v>Forward charges</v>
      </c>
      <c r="K92" s="10" t="str">
        <f t="shared" si="6"/>
        <v>NA</v>
      </c>
      <c r="L92" s="10" t="str">
        <f>VLOOKUP(A92,Courier_compnay_invoice!B:F,5,0)</f>
        <v>d</v>
      </c>
      <c r="M92" s="7">
        <f>IFS(I92="a",(Curioer_Rate!$B$5+((D92-0.5)*2)*Curioer_Rate!$C$5),
     I92 ="b",(Curioer_Rate!$B$6+((D92-0.5)*2)*Curioer_Rate!$C$6),
     I92="c",(Curioer_Rate!$B$7+((D92-0.5)*2)*Curioer_Rate!$C$7),
     I92="d",(Curioer_Rate!$B$8+((D92-0.5)*2)*Curioer_Rate!$C$8),
     I92="e",(Curioer_Rate!$B$9+((D92-0.5)*2)*Curioer_Rate!$C$9))</f>
        <v>33</v>
      </c>
      <c r="N92" s="7" t="str">
        <f>VLOOKUP(A92,Courier_compnay_invoice!B:H,7,0)</f>
        <v>90.2</v>
      </c>
      <c r="O92" s="7">
        <f t="shared" si="5"/>
        <v>-57.2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8" t="s">
        <v>197</v>
      </c>
      <c r="B93" s="8" t="s">
        <v>198</v>
      </c>
      <c r="C93" s="9">
        <f>SUMIF('Company X - order Report'!$A:$A,A93,'Company X - order Report'!$E:$E)</f>
        <v>0.84</v>
      </c>
      <c r="D93" s="10">
        <f t="shared" si="1"/>
        <v>1</v>
      </c>
      <c r="E93" s="10">
        <f t="shared" si="2"/>
        <v>1</v>
      </c>
      <c r="F93" s="10">
        <f t="shared" si="3"/>
        <v>1</v>
      </c>
      <c r="G93" s="10" t="str">
        <f>VLOOKUP(A93,Courier_compnay_invoice!B:C,2,0)</f>
        <v>1.02</v>
      </c>
      <c r="H93" s="8">
        <f t="shared" si="4"/>
        <v>1.5</v>
      </c>
      <c r="I93" s="10" t="str">
        <f>VLOOKUP(A93,'Company X - Pincode Zones'!A:D,4,0)</f>
        <v>b</v>
      </c>
      <c r="J93" s="10" t="str">
        <f>VLOOKUP(I93,'Company X - Pincode Zones'!D:E,2,0)</f>
        <v>Forward charges</v>
      </c>
      <c r="K93" s="10" t="str">
        <f t="shared" si="6"/>
        <v>NA</v>
      </c>
      <c r="L93" s="10" t="str">
        <f>VLOOKUP(A93,Courier_compnay_invoice!B:F,5,0)</f>
        <v>d</v>
      </c>
      <c r="M93" s="7">
        <f>IFS(I93="a",(Curioer_Rate!$B$5+((D93-0.5)*2)*Curioer_Rate!$C$5),
     I93 ="b",(Curioer_Rate!$B$6+((D93-0.5)*2)*Curioer_Rate!$C$6),
     I93="c",(Curioer_Rate!$B$7+((D93-0.5)*2)*Curioer_Rate!$C$7),
     I93="d",(Curioer_Rate!$B$8+((D93-0.5)*2)*Curioer_Rate!$C$8),
     I93="e",(Curioer_Rate!$B$9+((D93-0.5)*2)*Curioer_Rate!$C$9))</f>
        <v>61.3</v>
      </c>
      <c r="N93" s="7" t="str">
        <f>VLOOKUP(A93,Courier_compnay_invoice!B:H,7,0)</f>
        <v>135</v>
      </c>
      <c r="O93" s="7">
        <f t="shared" si="5"/>
        <v>-73.7</v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8" t="s">
        <v>199</v>
      </c>
      <c r="B94" s="8" t="s">
        <v>200</v>
      </c>
      <c r="C94" s="9">
        <f>SUMIF('Company X - order Report'!$A:$A,A94,'Company X - order Report'!$E:$E)</f>
        <v>0.127</v>
      </c>
      <c r="D94" s="10">
        <f t="shared" si="1"/>
        <v>0.5</v>
      </c>
      <c r="E94" s="10">
        <f t="shared" si="2"/>
        <v>1</v>
      </c>
      <c r="F94" s="10">
        <f t="shared" si="3"/>
        <v>0</v>
      </c>
      <c r="G94" s="10" t="str">
        <f>VLOOKUP(A94,Courier_compnay_invoice!B:C,2,0)</f>
        <v>0.59</v>
      </c>
      <c r="H94" s="8">
        <f t="shared" si="4"/>
        <v>1</v>
      </c>
      <c r="I94" s="10" t="str">
        <f>VLOOKUP(A94,'Company X - Pincode Zones'!A:D,4,0)</f>
        <v>b</v>
      </c>
      <c r="J94" s="10" t="str">
        <f>VLOOKUP(I94,'Company X - Pincode Zones'!D:E,2,0)</f>
        <v>Forward charges</v>
      </c>
      <c r="K94" s="10" t="str">
        <f t="shared" si="6"/>
        <v>NA</v>
      </c>
      <c r="L94" s="10" t="str">
        <f>VLOOKUP(A94,Courier_compnay_invoice!B:F,5,0)</f>
        <v>d</v>
      </c>
      <c r="M94" s="7">
        <f>IFS(I94="a",(Curioer_Rate!$B$5+((D94-0.5)*2)*Curioer_Rate!$C$5),
     I94 ="b",(Curioer_Rate!$B$6+((D94-0.5)*2)*Curioer_Rate!$C$6),
     I94="c",(Curioer_Rate!$B$7+((D94-0.5)*2)*Curioer_Rate!$C$7),
     I94="d",(Curioer_Rate!$B$8+((D94-0.5)*2)*Curioer_Rate!$C$8),
     I94="e",(Curioer_Rate!$B$9+((D94-0.5)*2)*Curioer_Rate!$C$9))</f>
        <v>33</v>
      </c>
      <c r="N94" s="7" t="str">
        <f>VLOOKUP(A94,Courier_compnay_invoice!B:H,7,0)</f>
        <v>90.2</v>
      </c>
      <c r="O94" s="7">
        <f t="shared" si="5"/>
        <v>-57.2</v>
      </c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8" t="s">
        <v>201</v>
      </c>
      <c r="B95" s="8" t="s">
        <v>202</v>
      </c>
      <c r="C95" s="9">
        <f>SUMIF('Company X - order Report'!$A:$A,A95,'Company X - order Report'!$E:$E)</f>
        <v>0.5</v>
      </c>
      <c r="D95" s="10">
        <f t="shared" si="1"/>
        <v>0.5</v>
      </c>
      <c r="E95" s="10">
        <f t="shared" si="2"/>
        <v>1</v>
      </c>
      <c r="F95" s="10">
        <f t="shared" si="3"/>
        <v>0</v>
      </c>
      <c r="G95" s="10" t="str">
        <f>VLOOKUP(A95,Courier_compnay_invoice!B:C,2,0)</f>
        <v>0.69</v>
      </c>
      <c r="H95" s="8">
        <f t="shared" si="4"/>
        <v>1</v>
      </c>
      <c r="I95" s="10" t="str">
        <f>VLOOKUP(A95,'Company X - Pincode Zones'!A:D,4,0)</f>
        <v>b</v>
      </c>
      <c r="J95" s="10" t="str">
        <f>VLOOKUP(I95,'Company X - Pincode Zones'!D:E,2,0)</f>
        <v>Forward charges</v>
      </c>
      <c r="K95" s="10" t="str">
        <f t="shared" si="6"/>
        <v>NA</v>
      </c>
      <c r="L95" s="10" t="str">
        <f>VLOOKUP(A95,Courier_compnay_invoice!B:F,5,0)</f>
        <v>d</v>
      </c>
      <c r="M95" s="7">
        <f>IFS(I95="a",(Curioer_Rate!$B$5+((D95-0.5)*2)*Curioer_Rate!$C$5),
     I95 ="b",(Curioer_Rate!$B$6+((D95-0.5)*2)*Curioer_Rate!$C$6),
     I95="c",(Curioer_Rate!$B$7+((D95-0.5)*2)*Curioer_Rate!$C$7),
     I95="d",(Curioer_Rate!$B$8+((D95-0.5)*2)*Curioer_Rate!$C$8),
     I95="e",(Curioer_Rate!$B$9+((D95-0.5)*2)*Curioer_Rate!$C$9))</f>
        <v>33</v>
      </c>
      <c r="N95" s="7" t="str">
        <f>VLOOKUP(A95,Courier_compnay_invoice!B:H,7,0)</f>
        <v>90.2</v>
      </c>
      <c r="O95" s="7">
        <f t="shared" si="5"/>
        <v>-57.2</v>
      </c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8" t="s">
        <v>203</v>
      </c>
      <c r="B96" s="8" t="s">
        <v>204</v>
      </c>
      <c r="C96" s="9">
        <f>SUMIF('Company X - order Report'!$A:$A,A96,'Company X - order Report'!$E:$E)</f>
        <v>0.5</v>
      </c>
      <c r="D96" s="10">
        <f t="shared" si="1"/>
        <v>0.5</v>
      </c>
      <c r="E96" s="10">
        <f t="shared" si="2"/>
        <v>1</v>
      </c>
      <c r="F96" s="10">
        <f t="shared" si="3"/>
        <v>0</v>
      </c>
      <c r="G96" s="10" t="str">
        <f>VLOOKUP(A96,Courier_compnay_invoice!B:C,2,0)</f>
        <v>0.68</v>
      </c>
      <c r="H96" s="8">
        <f t="shared" si="4"/>
        <v>1</v>
      </c>
      <c r="I96" s="10" t="str">
        <f>VLOOKUP(A96,'Company X - Pincode Zones'!A:D,4,0)</f>
        <v>b</v>
      </c>
      <c r="J96" s="10" t="str">
        <f>VLOOKUP(I96,'Company X - Pincode Zones'!D:E,2,0)</f>
        <v>Forward charges</v>
      </c>
      <c r="K96" s="10" t="str">
        <f t="shared" si="6"/>
        <v>NA</v>
      </c>
      <c r="L96" s="10" t="str">
        <f>VLOOKUP(A96,Courier_compnay_invoice!B:F,5,0)</f>
        <v>d</v>
      </c>
      <c r="M96" s="7">
        <f>IFS(I96="a",(Curioer_Rate!$B$5+((D96-0.5)*2)*Curioer_Rate!$C$5),
     I96 ="b",(Curioer_Rate!$B$6+((D96-0.5)*2)*Curioer_Rate!$C$6),
     I96="c",(Curioer_Rate!$B$7+((D96-0.5)*2)*Curioer_Rate!$C$7),
     I96="d",(Curioer_Rate!$B$8+((D96-0.5)*2)*Curioer_Rate!$C$8),
     I96="e",(Curioer_Rate!$B$9+((D96-0.5)*2)*Curioer_Rate!$C$9))</f>
        <v>33</v>
      </c>
      <c r="N96" s="7" t="str">
        <f>VLOOKUP(A96,Courier_compnay_invoice!B:H,7,0)</f>
        <v>90.2</v>
      </c>
      <c r="O96" s="7">
        <f t="shared" si="5"/>
        <v>-57.2</v>
      </c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8" t="s">
        <v>205</v>
      </c>
      <c r="B97" s="8" t="s">
        <v>206</v>
      </c>
      <c r="C97" s="9">
        <f>SUMIF('Company X - order Report'!$A:$A,A97,'Company X - order Report'!$E:$E)</f>
        <v>0.49</v>
      </c>
      <c r="D97" s="10">
        <f t="shared" si="1"/>
        <v>0.5</v>
      </c>
      <c r="E97" s="10">
        <f t="shared" si="2"/>
        <v>1</v>
      </c>
      <c r="F97" s="10">
        <f t="shared" si="3"/>
        <v>0</v>
      </c>
      <c r="G97" s="10" t="str">
        <f>VLOOKUP(A97,Courier_compnay_invoice!B:C,2,0)</f>
        <v>2.28</v>
      </c>
      <c r="H97" s="8">
        <f t="shared" si="4"/>
        <v>2.5</v>
      </c>
      <c r="I97" s="10" t="str">
        <f>VLOOKUP(A97,'Company X - Pincode Zones'!A:D,4,0)</f>
        <v>b</v>
      </c>
      <c r="J97" s="10" t="str">
        <f>VLOOKUP(I97,'Company X - Pincode Zones'!D:E,2,0)</f>
        <v>Forward charges</v>
      </c>
      <c r="K97" s="10" t="str">
        <f t="shared" si="6"/>
        <v>NA</v>
      </c>
      <c r="L97" s="10" t="str">
        <f>VLOOKUP(A97,Courier_compnay_invoice!B:F,5,0)</f>
        <v>d</v>
      </c>
      <c r="M97" s="7">
        <f>IFS(I97="a",(Curioer_Rate!$B$5+((D97-0.5)*2)*Curioer_Rate!$C$5),
     I97 ="b",(Curioer_Rate!$B$6+((D97-0.5)*2)*Curioer_Rate!$C$6),
     I97="c",(Curioer_Rate!$B$7+((D97-0.5)*2)*Curioer_Rate!$C$7),
     I97="d",(Curioer_Rate!$B$8+((D97-0.5)*2)*Curioer_Rate!$C$8),
     I97="e",(Curioer_Rate!$B$9+((D97-0.5)*2)*Curioer_Rate!$C$9))</f>
        <v>33</v>
      </c>
      <c r="N97" s="7" t="str">
        <f>VLOOKUP(A97,Courier_compnay_invoice!B:H,7,0)</f>
        <v>224.6</v>
      </c>
      <c r="O97" s="7">
        <f t="shared" si="5"/>
        <v>-191.6</v>
      </c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8" t="s">
        <v>207</v>
      </c>
      <c r="B98" s="8" t="s">
        <v>208</v>
      </c>
      <c r="C98" s="9">
        <f>SUMIF('Company X - order Report'!$A:$A,A98,'Company X - order Report'!$E:$E)</f>
        <v>0.5</v>
      </c>
      <c r="D98" s="10">
        <f t="shared" si="1"/>
        <v>0.5</v>
      </c>
      <c r="E98" s="10">
        <f t="shared" si="2"/>
        <v>1</v>
      </c>
      <c r="F98" s="10">
        <f t="shared" si="3"/>
        <v>0</v>
      </c>
      <c r="G98" s="10" t="str">
        <f>VLOOKUP(A98,Courier_compnay_invoice!B:C,2,0)</f>
        <v>0.68</v>
      </c>
      <c r="H98" s="8">
        <f t="shared" si="4"/>
        <v>1</v>
      </c>
      <c r="I98" s="10" t="str">
        <f>VLOOKUP(A98,'Company X - Pincode Zones'!A:D,4,0)</f>
        <v>b</v>
      </c>
      <c r="J98" s="10" t="str">
        <f>VLOOKUP(I98,'Company X - Pincode Zones'!D:E,2,0)</f>
        <v>Forward charges</v>
      </c>
      <c r="K98" s="10" t="str">
        <f t="shared" si="6"/>
        <v>NA</v>
      </c>
      <c r="L98" s="10" t="str">
        <f>VLOOKUP(A98,Courier_compnay_invoice!B:F,5,0)</f>
        <v>d</v>
      </c>
      <c r="M98" s="7">
        <f>IFS(I98="a",(Curioer_Rate!$B$5+((D98-0.5)*2)*Curioer_Rate!$C$5),
     I98 ="b",(Curioer_Rate!$B$6+((D98-0.5)*2)*Curioer_Rate!$C$6),
     I98="c",(Curioer_Rate!$B$7+((D98-0.5)*2)*Curioer_Rate!$C$7),
     I98="d",(Curioer_Rate!$B$8+((D98-0.5)*2)*Curioer_Rate!$C$8),
     I98="e",(Curioer_Rate!$B$9+((D98-0.5)*2)*Curioer_Rate!$C$9))</f>
        <v>33</v>
      </c>
      <c r="N98" s="7" t="str">
        <f>VLOOKUP(A98,Courier_compnay_invoice!B:H,7,0)</f>
        <v>90.2</v>
      </c>
      <c r="O98" s="7">
        <f t="shared" si="5"/>
        <v>-57.2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8" t="s">
        <v>209</v>
      </c>
      <c r="B99" s="8" t="s">
        <v>210</v>
      </c>
      <c r="C99" s="9">
        <f>SUMIF('Company X - order Report'!$A:$A,A99,'Company X - order Report'!$E:$E)</f>
        <v>0.5</v>
      </c>
      <c r="D99" s="10">
        <f t="shared" si="1"/>
        <v>0.5</v>
      </c>
      <c r="E99" s="10">
        <f t="shared" si="2"/>
        <v>1</v>
      </c>
      <c r="F99" s="10">
        <f t="shared" si="3"/>
        <v>0</v>
      </c>
      <c r="G99" s="10" t="str">
        <f>VLOOKUP(A99,Courier_compnay_invoice!B:C,2,0)</f>
        <v>0.74</v>
      </c>
      <c r="H99" s="8">
        <f t="shared" si="4"/>
        <v>1</v>
      </c>
      <c r="I99" s="10" t="str">
        <f>VLOOKUP(A99,'Company X - Pincode Zones'!A:D,4,0)</f>
        <v>b</v>
      </c>
      <c r="J99" s="10" t="str">
        <f>VLOOKUP(I99,'Company X - Pincode Zones'!D:E,2,0)</f>
        <v>Forward charges</v>
      </c>
      <c r="K99" s="10" t="str">
        <f t="shared" si="6"/>
        <v>NA</v>
      </c>
      <c r="L99" s="10" t="str">
        <f>VLOOKUP(A99,Courier_compnay_invoice!B:F,5,0)</f>
        <v>d</v>
      </c>
      <c r="M99" s="7">
        <f>IFS(I99="a",(Curioer_Rate!$B$5+((D99-0.5)*2)*Curioer_Rate!$C$5),
     I99 ="b",(Curioer_Rate!$B$6+((D99-0.5)*2)*Curioer_Rate!$C$6),
     I99="c",(Curioer_Rate!$B$7+((D99-0.5)*2)*Curioer_Rate!$C$7),
     I99="d",(Curioer_Rate!$B$8+((D99-0.5)*2)*Curioer_Rate!$C$8),
     I99="e",(Curioer_Rate!$B$9+((D99-0.5)*2)*Curioer_Rate!$C$9))</f>
        <v>33</v>
      </c>
      <c r="N99" s="7" t="str">
        <f>VLOOKUP(A99,Courier_compnay_invoice!B:H,7,0)</f>
        <v>90.2</v>
      </c>
      <c r="O99" s="7">
        <f t="shared" si="5"/>
        <v>-57.2</v>
      </c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8" t="s">
        <v>211</v>
      </c>
      <c r="B100" s="8" t="s">
        <v>212</v>
      </c>
      <c r="C100" s="9">
        <f>SUMIF('Company X - order Report'!$A:$A,A100,'Company X - order Report'!$E:$E)</f>
        <v>0.765</v>
      </c>
      <c r="D100" s="10">
        <f t="shared" si="1"/>
        <v>1</v>
      </c>
      <c r="E100" s="10">
        <f t="shared" si="2"/>
        <v>1</v>
      </c>
      <c r="F100" s="10">
        <f t="shared" si="3"/>
        <v>1</v>
      </c>
      <c r="G100" s="10" t="str">
        <f>VLOOKUP(A100,Courier_compnay_invoice!B:C,2,0)</f>
        <v>4.13</v>
      </c>
      <c r="H100" s="8">
        <f t="shared" si="4"/>
        <v>4.5</v>
      </c>
      <c r="I100" s="10" t="str">
        <f>VLOOKUP(A100,'Company X - Pincode Zones'!A:D,4,0)</f>
        <v>b</v>
      </c>
      <c r="J100" s="10" t="str">
        <f>VLOOKUP(I100,'Company X - Pincode Zones'!D:E,2,0)</f>
        <v>Forward charges</v>
      </c>
      <c r="K100" s="10" t="str">
        <f t="shared" si="6"/>
        <v>NA</v>
      </c>
      <c r="L100" s="10" t="str">
        <f>VLOOKUP(A100,Courier_compnay_invoice!B:F,5,0)</f>
        <v>d</v>
      </c>
      <c r="M100" s="7">
        <f>IFS(I100="a",(Curioer_Rate!$B$5+((D100-0.5)*2)*Curioer_Rate!$C$5),
     I100 ="b",(Curioer_Rate!$B$6+((D100-0.5)*2)*Curioer_Rate!$C$6),
     I100="c",(Curioer_Rate!$B$7+((D100-0.5)*2)*Curioer_Rate!$C$7),
     I100="d",(Curioer_Rate!$B$8+((D100-0.5)*2)*Curioer_Rate!$C$8),
     I100="e",(Curioer_Rate!$B$9+((D100-0.5)*2)*Curioer_Rate!$C$9))</f>
        <v>61.3</v>
      </c>
      <c r="N100" s="7" t="str">
        <f>VLOOKUP(A100,Courier_compnay_invoice!B:H,7,0)</f>
        <v>403.8</v>
      </c>
      <c r="O100" s="7">
        <f t="shared" si="5"/>
        <v>-342.5</v>
      </c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8" t="s">
        <v>213</v>
      </c>
      <c r="B101" s="8" t="s">
        <v>214</v>
      </c>
      <c r="C101" s="9">
        <f>SUMIF('Company X - order Report'!$A:$A,A101,'Company X - order Report'!$E:$E)</f>
        <v>0.5</v>
      </c>
      <c r="D101" s="10">
        <f t="shared" si="1"/>
        <v>0.5</v>
      </c>
      <c r="E101" s="10">
        <f t="shared" si="2"/>
        <v>1</v>
      </c>
      <c r="F101" s="10">
        <f t="shared" si="3"/>
        <v>0</v>
      </c>
      <c r="G101" s="10" t="str">
        <f>VLOOKUP(A101,Courier_compnay_invoice!B:C,2,0)</f>
        <v>0.73</v>
      </c>
      <c r="H101" s="8">
        <f t="shared" si="4"/>
        <v>1</v>
      </c>
      <c r="I101" s="10" t="str">
        <f>VLOOKUP(A101,'Company X - Pincode Zones'!A:D,4,0)</f>
        <v>b</v>
      </c>
      <c r="J101" s="10" t="str">
        <f>VLOOKUP(I101,'Company X - Pincode Zones'!D:E,2,0)</f>
        <v>Forward charges</v>
      </c>
      <c r="K101" s="10" t="str">
        <f t="shared" si="6"/>
        <v>NA</v>
      </c>
      <c r="L101" s="10" t="str">
        <f>VLOOKUP(A101,Courier_compnay_invoice!B:F,5,0)</f>
        <v>d</v>
      </c>
      <c r="M101" s="7">
        <f>IFS(I101="a",(Curioer_Rate!$B$5+((D101-0.5)*2)*Curioer_Rate!$C$5),
     I101 ="b",(Curioer_Rate!$B$6+((D101-0.5)*2)*Curioer_Rate!$C$6),
     I101="c",(Curioer_Rate!$B$7+((D101-0.5)*2)*Curioer_Rate!$C$7),
     I101="d",(Curioer_Rate!$B$8+((D101-0.5)*2)*Curioer_Rate!$C$8),
     I101="e",(Curioer_Rate!$B$9+((D101-0.5)*2)*Curioer_Rate!$C$9))</f>
        <v>33</v>
      </c>
      <c r="N101" s="7" t="str">
        <f>VLOOKUP(A101,Courier_compnay_invoice!B:H,7,0)</f>
        <v>90.2</v>
      </c>
      <c r="O101" s="7">
        <f t="shared" si="5"/>
        <v>-57.2</v>
      </c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8" t="s">
        <v>215</v>
      </c>
      <c r="B102" s="8" t="s">
        <v>216</v>
      </c>
      <c r="C102" s="9">
        <f>SUMIF('Company X - order Report'!$A:$A,A102,'Company X - order Report'!$E:$E)</f>
        <v>0.83</v>
      </c>
      <c r="D102" s="10">
        <f t="shared" si="1"/>
        <v>1</v>
      </c>
      <c r="E102" s="10">
        <f t="shared" si="2"/>
        <v>1</v>
      </c>
      <c r="F102" s="10">
        <f t="shared" si="3"/>
        <v>1</v>
      </c>
      <c r="G102" s="10" t="str">
        <f>VLOOKUP(A102,Courier_compnay_invoice!B:C,2,0)</f>
        <v>1.04</v>
      </c>
      <c r="H102" s="8">
        <f t="shared" si="4"/>
        <v>1.5</v>
      </c>
      <c r="I102" s="10" t="str">
        <f>VLOOKUP(A102,'Company X - Pincode Zones'!A:D,4,0)</f>
        <v>b</v>
      </c>
      <c r="J102" s="10" t="str">
        <f>VLOOKUP(I102,'Company X - Pincode Zones'!D:E,2,0)</f>
        <v>Forward charges</v>
      </c>
      <c r="K102" s="10" t="str">
        <f t="shared" si="6"/>
        <v>NA</v>
      </c>
      <c r="L102" s="10" t="str">
        <f>VLOOKUP(A102,Courier_compnay_invoice!B:F,5,0)</f>
        <v>d</v>
      </c>
      <c r="M102" s="7">
        <f>IFS(I102="a",(Curioer_Rate!$B$5+((D102-0.5)*2)*Curioer_Rate!$C$5),
     I102 ="b",(Curioer_Rate!$B$6+((D102-0.5)*2)*Curioer_Rate!$C$6),
     I102="c",(Curioer_Rate!$B$7+((D102-0.5)*2)*Curioer_Rate!$C$7),
     I102="d",(Curioer_Rate!$B$8+((D102-0.5)*2)*Curioer_Rate!$C$8),
     I102="e",(Curioer_Rate!$B$9+((D102-0.5)*2)*Curioer_Rate!$C$9))</f>
        <v>61.3</v>
      </c>
      <c r="N102" s="7" t="str">
        <f>VLOOKUP(A102,Courier_compnay_invoice!B:H,7,0)</f>
        <v>135</v>
      </c>
      <c r="O102" s="7">
        <f t="shared" si="5"/>
        <v>-73.7</v>
      </c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8" t="s">
        <v>217</v>
      </c>
      <c r="B103" s="8" t="s">
        <v>218</v>
      </c>
      <c r="C103" s="9">
        <f>SUMIF('Company X - order Report'!$A:$A,A103,'Company X - order Report'!$E:$E)</f>
        <v>0.5</v>
      </c>
      <c r="D103" s="10">
        <f t="shared" si="1"/>
        <v>0.5</v>
      </c>
      <c r="E103" s="10">
        <f t="shared" si="2"/>
        <v>1</v>
      </c>
      <c r="F103" s="10">
        <f t="shared" si="3"/>
        <v>0</v>
      </c>
      <c r="G103" s="10" t="str">
        <f>VLOOKUP(A103,Courier_compnay_invoice!B:C,2,0)</f>
        <v>0.7</v>
      </c>
      <c r="H103" s="8">
        <f t="shared" si="4"/>
        <v>1</v>
      </c>
      <c r="I103" s="10" t="str">
        <f>VLOOKUP(A103,'Company X - Pincode Zones'!A:D,4,0)</f>
        <v>b</v>
      </c>
      <c r="J103" s="10" t="str">
        <f>VLOOKUP(I103,'Company X - Pincode Zones'!D:E,2,0)</f>
        <v>Forward charges</v>
      </c>
      <c r="K103" s="10" t="str">
        <f t="shared" si="6"/>
        <v>NA</v>
      </c>
      <c r="L103" s="10" t="str">
        <f>VLOOKUP(A103,Courier_compnay_invoice!B:F,5,0)</f>
        <v>d</v>
      </c>
      <c r="M103" s="7">
        <f>IFS(I103="a",(Curioer_Rate!$B$5+((D103-0.5)*2)*Curioer_Rate!$C$5),
     I103 ="b",(Curioer_Rate!$B$6+((D103-0.5)*2)*Curioer_Rate!$C$6),
     I103="c",(Curioer_Rate!$B$7+((D103-0.5)*2)*Curioer_Rate!$C$7),
     I103="d",(Curioer_Rate!$B$8+((D103-0.5)*2)*Curioer_Rate!$C$8),
     I103="e",(Curioer_Rate!$B$9+((D103-0.5)*2)*Curioer_Rate!$C$9))</f>
        <v>33</v>
      </c>
      <c r="N103" s="7" t="str">
        <f>VLOOKUP(A103,Courier_compnay_invoice!B:H,7,0)</f>
        <v>90.2</v>
      </c>
      <c r="O103" s="7">
        <f t="shared" si="5"/>
        <v>-57.2</v>
      </c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8" t="s">
        <v>219</v>
      </c>
      <c r="B104" s="8" t="s">
        <v>220</v>
      </c>
      <c r="C104" s="9">
        <f>SUMIF('Company X - order Report'!$A:$A,A104,'Company X - order Report'!$E:$E)</f>
        <v>0.5</v>
      </c>
      <c r="D104" s="10">
        <f t="shared" si="1"/>
        <v>0.5</v>
      </c>
      <c r="E104" s="10">
        <f t="shared" si="2"/>
        <v>1</v>
      </c>
      <c r="F104" s="10">
        <f t="shared" si="3"/>
        <v>0</v>
      </c>
      <c r="G104" s="10" t="str">
        <f>VLOOKUP(A104,Courier_compnay_invoice!B:C,2,0)</f>
        <v>0.72</v>
      </c>
      <c r="H104" s="8">
        <f t="shared" si="4"/>
        <v>1</v>
      </c>
      <c r="I104" s="10" t="str">
        <f>VLOOKUP(A104,'Company X - Pincode Zones'!A:D,4,0)</f>
        <v>e</v>
      </c>
      <c r="J104" s="10" t="str">
        <f>VLOOKUP(I104,'Company X - Pincode Zones'!D:E,2,0)</f>
        <v>Forward and RTO charges</v>
      </c>
      <c r="K104" s="10" t="str">
        <f t="shared" si="6"/>
        <v>NA</v>
      </c>
      <c r="L104" s="10" t="str">
        <f>VLOOKUP(A104,Courier_compnay_invoice!B:F,5,0)</f>
        <v>b</v>
      </c>
      <c r="M104" s="7">
        <f>IFS(I104="a",(Curioer_Rate!$B$5+((D104-0.5)*2)*Curioer_Rate!$C$5),
     I104 ="b",(Curioer_Rate!$B$6+((D104-0.5)*2)*Curioer_Rate!$C$6),
     I104="c",(Curioer_Rate!$B$7+((D104-0.5)*2)*Curioer_Rate!$C$7),
     I104="d",(Curioer_Rate!$B$8+((D104-0.5)*2)*Curioer_Rate!$C$8),
     I104="e",(Curioer_Rate!$B$9+((D104-0.5)*2)*Curioer_Rate!$C$9))</f>
        <v>56.6</v>
      </c>
      <c r="N104" s="7" t="str">
        <f>VLOOKUP(A104,Courier_compnay_invoice!B:H,7,0)</f>
        <v>61.3</v>
      </c>
      <c r="O104" s="7">
        <f t="shared" si="5"/>
        <v>-4.7</v>
      </c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8" t="s">
        <v>221</v>
      </c>
      <c r="B105" s="8" t="s">
        <v>222</v>
      </c>
      <c r="C105" s="9">
        <f>SUMIF('Company X - order Report'!$A:$A,A105,'Company X - order Report'!$E:$E)</f>
        <v>0.5</v>
      </c>
      <c r="D105" s="10">
        <f t="shared" si="1"/>
        <v>0.5</v>
      </c>
      <c r="E105" s="10">
        <f t="shared" si="2"/>
        <v>1</v>
      </c>
      <c r="F105" s="10">
        <f t="shared" si="3"/>
        <v>0</v>
      </c>
      <c r="G105" s="10" t="str">
        <f>VLOOKUP(A105,Courier_compnay_invoice!B:C,2,0)</f>
        <v>0.72</v>
      </c>
      <c r="H105" s="8">
        <f t="shared" si="4"/>
        <v>1</v>
      </c>
      <c r="I105" s="10" t="str">
        <f>VLOOKUP(A105,'Company X - Pincode Zones'!A:D,4,0)</f>
        <v>b</v>
      </c>
      <c r="J105" s="10" t="str">
        <f>VLOOKUP(I105,'Company X - Pincode Zones'!D:E,2,0)</f>
        <v>Forward charges</v>
      </c>
      <c r="K105" s="10" t="str">
        <f t="shared" si="6"/>
        <v>NA</v>
      </c>
      <c r="L105" s="10" t="str">
        <f>VLOOKUP(A105,Courier_compnay_invoice!B:F,5,0)</f>
        <v>d</v>
      </c>
      <c r="M105" s="7">
        <f>IFS(I105="a",(Curioer_Rate!$B$5+((D105-0.5)*2)*Curioer_Rate!$C$5),
     I105 ="b",(Curioer_Rate!$B$6+((D105-0.5)*2)*Curioer_Rate!$C$6),
     I105="c",(Curioer_Rate!$B$7+((D105-0.5)*2)*Curioer_Rate!$C$7),
     I105="d",(Curioer_Rate!$B$8+((D105-0.5)*2)*Curioer_Rate!$C$8),
     I105="e",(Curioer_Rate!$B$9+((D105-0.5)*2)*Curioer_Rate!$C$9))</f>
        <v>33</v>
      </c>
      <c r="N105" s="7" t="str">
        <f>VLOOKUP(A105,Courier_compnay_invoice!B:H,7,0)</f>
        <v>90.2</v>
      </c>
      <c r="O105" s="7">
        <f t="shared" si="5"/>
        <v>-57.2</v>
      </c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8" t="s">
        <v>223</v>
      </c>
      <c r="B106" s="8" t="s">
        <v>224</v>
      </c>
      <c r="C106" s="9">
        <f>SUMIF('Company X - order Report'!$A:$A,A106,'Company X - order Report'!$E:$E)</f>
        <v>0.22</v>
      </c>
      <c r="D106" s="10">
        <f t="shared" si="1"/>
        <v>0.5</v>
      </c>
      <c r="E106" s="10">
        <f t="shared" si="2"/>
        <v>1</v>
      </c>
      <c r="F106" s="10">
        <f t="shared" si="3"/>
        <v>0</v>
      </c>
      <c r="G106" s="10" t="str">
        <f>VLOOKUP(A106,Courier_compnay_invoice!B:C,2,0)</f>
        <v>1.63</v>
      </c>
      <c r="H106" s="8">
        <f t="shared" si="4"/>
        <v>2</v>
      </c>
      <c r="I106" s="10" t="str">
        <f>VLOOKUP(A106,'Company X - Pincode Zones'!A:D,4,0)</f>
        <v>b</v>
      </c>
      <c r="J106" s="10" t="str">
        <f>VLOOKUP(I106,'Company X - Pincode Zones'!D:E,2,0)</f>
        <v>Forward charges</v>
      </c>
      <c r="K106" s="10" t="str">
        <f t="shared" si="6"/>
        <v>NA</v>
      </c>
      <c r="L106" s="10" t="str">
        <f>VLOOKUP(A106,Courier_compnay_invoice!B:F,5,0)</f>
        <v>d</v>
      </c>
      <c r="M106" s="7">
        <f>IFS(I106="a",(Curioer_Rate!$B$5+((D106-0.5)*2)*Curioer_Rate!$C$5),
     I106 ="b",(Curioer_Rate!$B$6+((D106-0.5)*2)*Curioer_Rate!$C$6),
     I106="c",(Curioer_Rate!$B$7+((D106-0.5)*2)*Curioer_Rate!$C$7),
     I106="d",(Curioer_Rate!$B$8+((D106-0.5)*2)*Curioer_Rate!$C$8),
     I106="e",(Curioer_Rate!$B$9+((D106-0.5)*2)*Curioer_Rate!$C$9))</f>
        <v>33</v>
      </c>
      <c r="N106" s="7" t="str">
        <f>VLOOKUP(A106,Courier_compnay_invoice!B:H,7,0)</f>
        <v>179.8</v>
      </c>
      <c r="O106" s="7">
        <f t="shared" si="5"/>
        <v>-146.8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8" t="s">
        <v>225</v>
      </c>
      <c r="B107" s="8" t="s">
        <v>226</v>
      </c>
      <c r="C107" s="9">
        <f>SUMIF('Company X - order Report'!$A:$A,A107,'Company X - order Report'!$E:$E)</f>
        <v>0.6</v>
      </c>
      <c r="D107" s="10">
        <f t="shared" si="1"/>
        <v>1</v>
      </c>
      <c r="E107" s="10">
        <f t="shared" si="2"/>
        <v>1</v>
      </c>
      <c r="F107" s="10">
        <f t="shared" si="3"/>
        <v>1</v>
      </c>
      <c r="G107" s="10" t="str">
        <f>VLOOKUP(A107,Courier_compnay_invoice!B:C,2,0)</f>
        <v>2.47</v>
      </c>
      <c r="H107" s="8">
        <f t="shared" si="4"/>
        <v>2.5</v>
      </c>
      <c r="I107" s="10" t="str">
        <f>VLOOKUP(A107,'Company X - Pincode Zones'!A:D,4,0)</f>
        <v>b</v>
      </c>
      <c r="J107" s="10" t="str">
        <f>VLOOKUP(I107,'Company X - Pincode Zones'!D:E,2,0)</f>
        <v>Forward charges</v>
      </c>
      <c r="K107" s="10" t="str">
        <f t="shared" si="6"/>
        <v>NA</v>
      </c>
      <c r="L107" s="10" t="str">
        <f>VLOOKUP(A107,Courier_compnay_invoice!B:F,5,0)</f>
        <v>d</v>
      </c>
      <c r="M107" s="7">
        <f>IFS(I107="a",(Curioer_Rate!$B$5+((D107-0.5)*2)*Curioer_Rate!$C$5),
     I107 ="b",(Curioer_Rate!$B$6+((D107-0.5)*2)*Curioer_Rate!$C$6),
     I107="c",(Curioer_Rate!$B$7+((D107-0.5)*2)*Curioer_Rate!$C$7),
     I107="d",(Curioer_Rate!$B$8+((D107-0.5)*2)*Curioer_Rate!$C$8),
     I107="e",(Curioer_Rate!$B$9+((D107-0.5)*2)*Curioer_Rate!$C$9))</f>
        <v>61.3</v>
      </c>
      <c r="N107" s="7" t="str">
        <f>VLOOKUP(A107,Courier_compnay_invoice!B:H,7,0)</f>
        <v>224.6</v>
      </c>
      <c r="O107" s="7">
        <f t="shared" si="5"/>
        <v>-163.3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8" t="s">
        <v>227</v>
      </c>
      <c r="B108" s="8" t="s">
        <v>228</v>
      </c>
      <c r="C108" s="9">
        <f>SUMIF('Company X - order Report'!$A:$A,A108,'Company X - order Report'!$E:$E)</f>
        <v>0.5</v>
      </c>
      <c r="D108" s="10">
        <f t="shared" si="1"/>
        <v>0.5</v>
      </c>
      <c r="E108" s="10">
        <f t="shared" si="2"/>
        <v>1</v>
      </c>
      <c r="F108" s="10">
        <f t="shared" si="3"/>
        <v>0</v>
      </c>
      <c r="G108" s="10" t="str">
        <f>VLOOKUP(A108,Courier_compnay_invoice!B:C,2,0)</f>
        <v>0.67</v>
      </c>
      <c r="H108" s="8">
        <f t="shared" si="4"/>
        <v>1</v>
      </c>
      <c r="I108" s="10" t="str">
        <f>VLOOKUP(A108,'Company X - Pincode Zones'!A:D,4,0)</f>
        <v>b</v>
      </c>
      <c r="J108" s="10" t="str">
        <f>VLOOKUP(I108,'Company X - Pincode Zones'!D:E,2,0)</f>
        <v>Forward charges</v>
      </c>
      <c r="K108" s="10" t="str">
        <f t="shared" si="6"/>
        <v>NA</v>
      </c>
      <c r="L108" s="10" t="str">
        <f>VLOOKUP(A108,Courier_compnay_invoice!B:F,5,0)</f>
        <v>d</v>
      </c>
      <c r="M108" s="7">
        <f>IFS(I108="a",(Curioer_Rate!$B$5+((D108-0.5)*2)*Curioer_Rate!$C$5),
     I108 ="b",(Curioer_Rate!$B$6+((D108-0.5)*2)*Curioer_Rate!$C$6),
     I108="c",(Curioer_Rate!$B$7+((D108-0.5)*2)*Curioer_Rate!$C$7),
     I108="d",(Curioer_Rate!$B$8+((D108-0.5)*2)*Curioer_Rate!$C$8),
     I108="e",(Curioer_Rate!$B$9+((D108-0.5)*2)*Curioer_Rate!$C$9))</f>
        <v>33</v>
      </c>
      <c r="N108" s="7" t="str">
        <f>VLOOKUP(A108,Courier_compnay_invoice!B:H,7,0)</f>
        <v>90.2</v>
      </c>
      <c r="O108" s="7">
        <f t="shared" si="5"/>
        <v>-57.2</v>
      </c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8" t="s">
        <v>229</v>
      </c>
      <c r="B109" s="8" t="s">
        <v>230</v>
      </c>
      <c r="C109" s="9">
        <f>SUMIF('Company X - order Report'!$A:$A,A109,'Company X - order Report'!$E:$E)</f>
        <v>0.5</v>
      </c>
      <c r="D109" s="10">
        <f t="shared" si="1"/>
        <v>0.5</v>
      </c>
      <c r="E109" s="10">
        <f t="shared" si="2"/>
        <v>1</v>
      </c>
      <c r="F109" s="10">
        <f t="shared" si="3"/>
        <v>0</v>
      </c>
      <c r="G109" s="10" t="str">
        <f>VLOOKUP(A109,Courier_compnay_invoice!B:C,2,0)</f>
        <v>0.72</v>
      </c>
      <c r="H109" s="8">
        <f t="shared" si="4"/>
        <v>1</v>
      </c>
      <c r="I109" s="10" t="str">
        <f>VLOOKUP(A109,'Company X - Pincode Zones'!A:D,4,0)</f>
        <v>b</v>
      </c>
      <c r="J109" s="10" t="str">
        <f>VLOOKUP(I109,'Company X - Pincode Zones'!D:E,2,0)</f>
        <v>Forward charges</v>
      </c>
      <c r="K109" s="10" t="str">
        <f t="shared" si="6"/>
        <v>NA</v>
      </c>
      <c r="L109" s="10" t="str">
        <f>VLOOKUP(A109,Courier_compnay_invoice!B:F,5,0)</f>
        <v>d</v>
      </c>
      <c r="M109" s="7">
        <f>IFS(I109="a",(Curioer_Rate!$B$5+((D109-0.5)*2)*Curioer_Rate!$C$5),
     I109 ="b",(Curioer_Rate!$B$6+((D109-0.5)*2)*Curioer_Rate!$C$6),
     I109="c",(Curioer_Rate!$B$7+((D109-0.5)*2)*Curioer_Rate!$C$7),
     I109="d",(Curioer_Rate!$B$8+((D109-0.5)*2)*Curioer_Rate!$C$8),
     I109="e",(Curioer_Rate!$B$9+((D109-0.5)*2)*Curioer_Rate!$C$9))</f>
        <v>33</v>
      </c>
      <c r="N109" s="7" t="str">
        <f>VLOOKUP(A109,Courier_compnay_invoice!B:H,7,0)</f>
        <v>90.2</v>
      </c>
      <c r="O109" s="7">
        <f t="shared" si="5"/>
        <v>-57.2</v>
      </c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8" t="s">
        <v>231</v>
      </c>
      <c r="B110" s="8" t="s">
        <v>232</v>
      </c>
      <c r="C110" s="9">
        <f>SUMIF('Company X - order Report'!$A:$A,A110,'Company X - order Report'!$E:$E)</f>
        <v>0.5</v>
      </c>
      <c r="D110" s="10">
        <f t="shared" si="1"/>
        <v>0.5</v>
      </c>
      <c r="E110" s="10">
        <f t="shared" si="2"/>
        <v>1</v>
      </c>
      <c r="F110" s="10">
        <f t="shared" si="3"/>
        <v>0</v>
      </c>
      <c r="G110" s="10" t="str">
        <f>VLOOKUP(A110,Courier_compnay_invoice!B:C,2,0)</f>
        <v>0.72</v>
      </c>
      <c r="H110" s="8">
        <f t="shared" si="4"/>
        <v>1</v>
      </c>
      <c r="I110" s="10" t="str">
        <f>VLOOKUP(A110,'Company X - Pincode Zones'!A:D,4,0)</f>
        <v>b</v>
      </c>
      <c r="J110" s="10" t="str">
        <f>VLOOKUP(I110,'Company X - Pincode Zones'!D:E,2,0)</f>
        <v>Forward charges</v>
      </c>
      <c r="K110" s="10" t="str">
        <f t="shared" si="6"/>
        <v>NA</v>
      </c>
      <c r="L110" s="10" t="str">
        <f>VLOOKUP(A110,Courier_compnay_invoice!B:F,5,0)</f>
        <v>d</v>
      </c>
      <c r="M110" s="7">
        <f>IFS(I110="a",(Curioer_Rate!$B$5+((D110-0.5)*2)*Curioer_Rate!$C$5),
     I110 ="b",(Curioer_Rate!$B$6+((D110-0.5)*2)*Curioer_Rate!$C$6),
     I110="c",(Curioer_Rate!$B$7+((D110-0.5)*2)*Curioer_Rate!$C$7),
     I110="d",(Curioer_Rate!$B$8+((D110-0.5)*2)*Curioer_Rate!$C$8),
     I110="e",(Curioer_Rate!$B$9+((D110-0.5)*2)*Curioer_Rate!$C$9))</f>
        <v>33</v>
      </c>
      <c r="N110" s="7" t="str">
        <f>VLOOKUP(A110,Courier_compnay_invoice!B:H,7,0)</f>
        <v>90.2</v>
      </c>
      <c r="O110" s="7">
        <f t="shared" si="5"/>
        <v>-57.2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8" t="s">
        <v>233</v>
      </c>
      <c r="B111" s="8" t="s">
        <v>234</v>
      </c>
      <c r="C111" s="9">
        <f>SUMIF('Company X - order Report'!$A:$A,A111,'Company X - order Report'!$E:$E)</f>
        <v>0.5</v>
      </c>
      <c r="D111" s="10">
        <f t="shared" si="1"/>
        <v>0.5</v>
      </c>
      <c r="E111" s="10">
        <f t="shared" si="2"/>
        <v>1</v>
      </c>
      <c r="F111" s="10">
        <f t="shared" si="3"/>
        <v>0</v>
      </c>
      <c r="G111" s="10" t="str">
        <f>VLOOKUP(A111,Courier_compnay_invoice!B:C,2,0)</f>
        <v>0.68</v>
      </c>
      <c r="H111" s="8">
        <f t="shared" si="4"/>
        <v>1</v>
      </c>
      <c r="I111" s="10" t="str">
        <f>VLOOKUP(A111,'Company X - Pincode Zones'!A:D,4,0)</f>
        <v>b</v>
      </c>
      <c r="J111" s="10" t="str">
        <f>VLOOKUP(I111,'Company X - Pincode Zones'!D:E,2,0)</f>
        <v>Forward charges</v>
      </c>
      <c r="K111" s="10" t="str">
        <f t="shared" si="6"/>
        <v>NA</v>
      </c>
      <c r="L111" s="10" t="str">
        <f>VLOOKUP(A111,Courier_compnay_invoice!B:F,5,0)</f>
        <v>d</v>
      </c>
      <c r="M111" s="7">
        <f>IFS(I111="a",(Curioer_Rate!$B$5+((D111-0.5)*2)*Curioer_Rate!$C$5),
     I111 ="b",(Curioer_Rate!$B$6+((D111-0.5)*2)*Curioer_Rate!$C$6),
     I111="c",(Curioer_Rate!$B$7+((D111-0.5)*2)*Curioer_Rate!$C$7),
     I111="d",(Curioer_Rate!$B$8+((D111-0.5)*2)*Curioer_Rate!$C$8),
     I111="e",(Curioer_Rate!$B$9+((D111-0.5)*2)*Curioer_Rate!$C$9))</f>
        <v>33</v>
      </c>
      <c r="N111" s="7" t="str">
        <f>VLOOKUP(A111,Courier_compnay_invoice!B:H,7,0)</f>
        <v>90.2</v>
      </c>
      <c r="O111" s="7">
        <f t="shared" si="5"/>
        <v>-57.2</v>
      </c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8" t="s">
        <v>235</v>
      </c>
      <c r="B112" s="8" t="s">
        <v>236</v>
      </c>
      <c r="C112" s="9">
        <f>SUMIF('Company X - order Report'!$A:$A,A112,'Company X - order Report'!$E:$E)</f>
        <v>0.361</v>
      </c>
      <c r="D112" s="10">
        <f t="shared" si="1"/>
        <v>0.5</v>
      </c>
      <c r="E112" s="10">
        <f t="shared" si="2"/>
        <v>1</v>
      </c>
      <c r="F112" s="10">
        <f t="shared" si="3"/>
        <v>0</v>
      </c>
      <c r="G112" s="10" t="str">
        <f>VLOOKUP(A112,Courier_compnay_invoice!B:C,2,0)</f>
        <v>0.82</v>
      </c>
      <c r="H112" s="8">
        <f t="shared" si="4"/>
        <v>1</v>
      </c>
      <c r="I112" s="10" t="str">
        <f>VLOOKUP(A112,'Company X - Pincode Zones'!A:D,4,0)</f>
        <v>b</v>
      </c>
      <c r="J112" s="10" t="str">
        <f>VLOOKUP(I112,'Company X - Pincode Zones'!D:E,2,0)</f>
        <v>Forward charges</v>
      </c>
      <c r="K112" s="10" t="str">
        <f t="shared" si="6"/>
        <v>NA</v>
      </c>
      <c r="L112" s="10" t="str">
        <f>VLOOKUP(A112,Courier_compnay_invoice!B:F,5,0)</f>
        <v>d</v>
      </c>
      <c r="M112" s="7">
        <f>IFS(I112="a",(Curioer_Rate!$B$5+((D112-0.5)*2)*Curioer_Rate!$C$5),
     I112 ="b",(Curioer_Rate!$B$6+((D112-0.5)*2)*Curioer_Rate!$C$6),
     I112="c",(Curioer_Rate!$B$7+((D112-0.5)*2)*Curioer_Rate!$C$7),
     I112="d",(Curioer_Rate!$B$8+((D112-0.5)*2)*Curioer_Rate!$C$8),
     I112="e",(Curioer_Rate!$B$9+((D112-0.5)*2)*Curioer_Rate!$C$9))</f>
        <v>33</v>
      </c>
      <c r="N112" s="7" t="str">
        <f>VLOOKUP(A112,Courier_compnay_invoice!B:H,7,0)</f>
        <v>90.2</v>
      </c>
      <c r="O112" s="7">
        <f t="shared" si="5"/>
        <v>-57.2</v>
      </c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8" t="s">
        <v>237</v>
      </c>
      <c r="B113" s="8" t="s">
        <v>238</v>
      </c>
      <c r="C113" s="9">
        <f>SUMIF('Company X - order Report'!$A:$A,A113,'Company X - order Report'!$E:$E)</f>
        <v>0.5</v>
      </c>
      <c r="D113" s="10">
        <f t="shared" si="1"/>
        <v>0.5</v>
      </c>
      <c r="E113" s="10">
        <f t="shared" si="2"/>
        <v>1</v>
      </c>
      <c r="F113" s="10">
        <f t="shared" si="3"/>
        <v>0</v>
      </c>
      <c r="G113" s="10" t="str">
        <f>VLOOKUP(A113,Courier_compnay_invoice!B:C,2,0)</f>
        <v>0.66</v>
      </c>
      <c r="H113" s="8">
        <f t="shared" si="4"/>
        <v>1</v>
      </c>
      <c r="I113" s="10" t="str">
        <f>VLOOKUP(A113,'Company X - Pincode Zones'!A:D,4,0)</f>
        <v>b</v>
      </c>
      <c r="J113" s="10" t="str">
        <f>VLOOKUP(I113,'Company X - Pincode Zones'!D:E,2,0)</f>
        <v>Forward charges</v>
      </c>
      <c r="K113" s="10" t="str">
        <f t="shared" si="6"/>
        <v>NA</v>
      </c>
      <c r="L113" s="10" t="str">
        <f>VLOOKUP(A113,Courier_compnay_invoice!B:F,5,0)</f>
        <v>d</v>
      </c>
      <c r="M113" s="7">
        <f>IFS(I113="a",(Curioer_Rate!$B$5+((D113-0.5)*2)*Curioer_Rate!$C$5),
     I113 ="b",(Curioer_Rate!$B$6+((D113-0.5)*2)*Curioer_Rate!$C$6),
     I113="c",(Curioer_Rate!$B$7+((D113-0.5)*2)*Curioer_Rate!$C$7),
     I113="d",(Curioer_Rate!$B$8+((D113-0.5)*2)*Curioer_Rate!$C$8),
     I113="e",(Curioer_Rate!$B$9+((D113-0.5)*2)*Curioer_Rate!$C$9))</f>
        <v>33</v>
      </c>
      <c r="N113" s="7" t="str">
        <f>VLOOKUP(A113,Courier_compnay_invoice!B:H,7,0)</f>
        <v>90.2</v>
      </c>
      <c r="O113" s="7">
        <f t="shared" si="5"/>
        <v>-57.2</v>
      </c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8" t="s">
        <v>239</v>
      </c>
      <c r="B114" s="8" t="s">
        <v>240</v>
      </c>
      <c r="C114" s="9">
        <f>SUMIF('Company X - order Report'!$A:$A,A114,'Company X - order Report'!$E:$E)</f>
        <v>0.5</v>
      </c>
      <c r="D114" s="10">
        <f t="shared" si="1"/>
        <v>0.5</v>
      </c>
      <c r="E114" s="10">
        <f t="shared" si="2"/>
        <v>1</v>
      </c>
      <c r="F114" s="10">
        <f t="shared" si="3"/>
        <v>0</v>
      </c>
      <c r="G114" s="10" t="str">
        <f>VLOOKUP(A114,Courier_compnay_invoice!B:C,2,0)</f>
        <v>0.68</v>
      </c>
      <c r="H114" s="8">
        <f t="shared" si="4"/>
        <v>1</v>
      </c>
      <c r="I114" s="10" t="str">
        <f>VLOOKUP(A114,'Company X - Pincode Zones'!A:D,4,0)</f>
        <v>b</v>
      </c>
      <c r="J114" s="10" t="str">
        <f>VLOOKUP(I114,'Company X - Pincode Zones'!D:E,2,0)</f>
        <v>Forward charges</v>
      </c>
      <c r="K114" s="10" t="str">
        <f t="shared" si="6"/>
        <v>NA</v>
      </c>
      <c r="L114" s="10" t="str">
        <f>VLOOKUP(A114,Courier_compnay_invoice!B:F,5,0)</f>
        <v>d</v>
      </c>
      <c r="M114" s="7">
        <f>IFS(I114="a",(Curioer_Rate!$B$5+((D114-0.5)*2)*Curioer_Rate!$C$5),
     I114 ="b",(Curioer_Rate!$B$6+((D114-0.5)*2)*Curioer_Rate!$C$6),
     I114="c",(Curioer_Rate!$B$7+((D114-0.5)*2)*Curioer_Rate!$C$7),
     I114="d",(Curioer_Rate!$B$8+((D114-0.5)*2)*Curioer_Rate!$C$8),
     I114="e",(Curioer_Rate!$B$9+((D114-0.5)*2)*Curioer_Rate!$C$9))</f>
        <v>33</v>
      </c>
      <c r="N114" s="7" t="str">
        <f>VLOOKUP(A114,Courier_compnay_invoice!B:H,7,0)</f>
        <v>90.2</v>
      </c>
      <c r="O114" s="7">
        <f t="shared" si="5"/>
        <v>-57.2</v>
      </c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8" t="s">
        <v>241</v>
      </c>
      <c r="B115" s="8" t="s">
        <v>242</v>
      </c>
      <c r="C115" s="9">
        <f>SUMIF('Company X - order Report'!$A:$A,A115,'Company X - order Report'!$E:$E)</f>
        <v>0.986</v>
      </c>
      <c r="D115" s="10">
        <f t="shared" si="1"/>
        <v>1</v>
      </c>
      <c r="E115" s="10">
        <f t="shared" si="2"/>
        <v>1</v>
      </c>
      <c r="F115" s="10">
        <f t="shared" si="3"/>
        <v>1</v>
      </c>
      <c r="G115" s="10" t="str">
        <f>VLOOKUP(A115,Courier_compnay_invoice!B:C,2,0)</f>
        <v>1.86</v>
      </c>
      <c r="H115" s="8">
        <f t="shared" si="4"/>
        <v>2</v>
      </c>
      <c r="I115" s="10" t="str">
        <f>VLOOKUP(A115,'Company X - Pincode Zones'!A:D,4,0)</f>
        <v>b</v>
      </c>
      <c r="J115" s="10" t="str">
        <f>VLOOKUP(I115,'Company X - Pincode Zones'!D:E,2,0)</f>
        <v>Forward charges</v>
      </c>
      <c r="K115" s="10" t="str">
        <f t="shared" si="6"/>
        <v>NA</v>
      </c>
      <c r="L115" s="10" t="str">
        <f>VLOOKUP(A115,Courier_compnay_invoice!B:F,5,0)</f>
        <v>d</v>
      </c>
      <c r="M115" s="7">
        <f>IFS(I115="a",(Curioer_Rate!$B$5+((D115-0.5)*2)*Curioer_Rate!$C$5),
     I115 ="b",(Curioer_Rate!$B$6+((D115-0.5)*2)*Curioer_Rate!$C$6),
     I115="c",(Curioer_Rate!$B$7+((D115-0.5)*2)*Curioer_Rate!$C$7),
     I115="d",(Curioer_Rate!$B$8+((D115-0.5)*2)*Curioer_Rate!$C$8),
     I115="e",(Curioer_Rate!$B$9+((D115-0.5)*2)*Curioer_Rate!$C$9))</f>
        <v>61.3</v>
      </c>
      <c r="N115" s="7" t="str">
        <f>VLOOKUP(A115,Courier_compnay_invoice!B:H,7,0)</f>
        <v>179.8</v>
      </c>
      <c r="O115" s="7">
        <f t="shared" si="5"/>
        <v>-118.5</v>
      </c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8" t="s">
        <v>243</v>
      </c>
      <c r="B116" s="8" t="s">
        <v>244</v>
      </c>
      <c r="C116" s="9">
        <f>SUMIF('Company X - order Report'!$A:$A,A116,'Company X - order Report'!$E:$E)</f>
        <v>0.607</v>
      </c>
      <c r="D116" s="10">
        <f t="shared" si="1"/>
        <v>1</v>
      </c>
      <c r="E116" s="10">
        <f t="shared" si="2"/>
        <v>1</v>
      </c>
      <c r="F116" s="10">
        <f t="shared" si="3"/>
        <v>1</v>
      </c>
      <c r="G116" s="10" t="str">
        <f>VLOOKUP(A116,Courier_compnay_invoice!B:C,2,0)</f>
        <v>2.27</v>
      </c>
      <c r="H116" s="8">
        <f t="shared" si="4"/>
        <v>2.5</v>
      </c>
      <c r="I116" s="10" t="str">
        <f>VLOOKUP(A116,'Company X - Pincode Zones'!A:D,4,0)</f>
        <v>b</v>
      </c>
      <c r="J116" s="10" t="str">
        <f>VLOOKUP(I116,'Company X - Pincode Zones'!D:E,2,0)</f>
        <v>Forward charges</v>
      </c>
      <c r="K116" s="10" t="str">
        <f t="shared" si="6"/>
        <v>NA</v>
      </c>
      <c r="L116" s="10" t="str">
        <f>VLOOKUP(A116,Courier_compnay_invoice!B:F,5,0)</f>
        <v>d</v>
      </c>
      <c r="M116" s="7">
        <f>IFS(I116="a",(Curioer_Rate!$B$5+((D116-0.5)*2)*Curioer_Rate!$C$5),
     I116 ="b",(Curioer_Rate!$B$6+((D116-0.5)*2)*Curioer_Rate!$C$6),
     I116="c",(Curioer_Rate!$B$7+((D116-0.5)*2)*Curioer_Rate!$C$7),
     I116="d",(Curioer_Rate!$B$8+((D116-0.5)*2)*Curioer_Rate!$C$8),
     I116="e",(Curioer_Rate!$B$9+((D116-0.5)*2)*Curioer_Rate!$C$9))</f>
        <v>61.3</v>
      </c>
      <c r="N116" s="7" t="str">
        <f>VLOOKUP(A116,Courier_compnay_invoice!B:H,7,0)</f>
        <v>224.6</v>
      </c>
      <c r="O116" s="7">
        <f t="shared" si="5"/>
        <v>-163.3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8" t="s">
        <v>245</v>
      </c>
      <c r="B117" s="8" t="s">
        <v>246</v>
      </c>
      <c r="C117" s="9">
        <f>SUMIF('Company X - order Report'!$A:$A,A117,'Company X - order Report'!$E:$E)</f>
        <v>0.488</v>
      </c>
      <c r="D117" s="10">
        <f t="shared" si="1"/>
        <v>0.5</v>
      </c>
      <c r="E117" s="10">
        <f t="shared" si="2"/>
        <v>1</v>
      </c>
      <c r="F117" s="10">
        <f t="shared" si="3"/>
        <v>0</v>
      </c>
      <c r="G117" s="10" t="str">
        <f>VLOOKUP(A117,Courier_compnay_invoice!B:C,2,0)</f>
        <v>0.68</v>
      </c>
      <c r="H117" s="8">
        <f t="shared" si="4"/>
        <v>1</v>
      </c>
      <c r="I117" s="10" t="str">
        <f>VLOOKUP(A117,'Company X - Pincode Zones'!A:D,4,0)</f>
        <v>b</v>
      </c>
      <c r="J117" s="10" t="str">
        <f>VLOOKUP(I117,'Company X - Pincode Zones'!D:E,2,0)</f>
        <v>Forward charges</v>
      </c>
      <c r="K117" s="10" t="str">
        <f t="shared" si="6"/>
        <v>NA</v>
      </c>
      <c r="L117" s="10" t="str">
        <f>VLOOKUP(A117,Courier_compnay_invoice!B:F,5,0)</f>
        <v>d</v>
      </c>
      <c r="M117" s="7">
        <f>IFS(I117="a",(Curioer_Rate!$B$5+((D117-0.5)*2)*Curioer_Rate!$C$5),
     I117 ="b",(Curioer_Rate!$B$6+((D117-0.5)*2)*Curioer_Rate!$C$6),
     I117="c",(Curioer_Rate!$B$7+((D117-0.5)*2)*Curioer_Rate!$C$7),
     I117="d",(Curioer_Rate!$B$8+((D117-0.5)*2)*Curioer_Rate!$C$8),
     I117="e",(Curioer_Rate!$B$9+((D117-0.5)*2)*Curioer_Rate!$C$9))</f>
        <v>33</v>
      </c>
      <c r="N117" s="7" t="str">
        <f>VLOOKUP(A117,Courier_compnay_invoice!B:H,7,0)</f>
        <v>90.2</v>
      </c>
      <c r="O117" s="7">
        <f t="shared" si="5"/>
        <v>-57.2</v>
      </c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8" t="s">
        <v>247</v>
      </c>
      <c r="B118" s="8" t="s">
        <v>248</v>
      </c>
      <c r="C118" s="9">
        <f>SUMIF('Company X - order Report'!$A:$A,A118,'Company X - order Report'!$E:$E)</f>
        <v>0.5</v>
      </c>
      <c r="D118" s="10">
        <f t="shared" si="1"/>
        <v>0.5</v>
      </c>
      <c r="E118" s="10">
        <f t="shared" si="2"/>
        <v>1</v>
      </c>
      <c r="F118" s="10">
        <f t="shared" si="3"/>
        <v>0</v>
      </c>
      <c r="G118" s="10" t="str">
        <f>VLOOKUP(A118,Courier_compnay_invoice!B:C,2,0)</f>
        <v>0.72</v>
      </c>
      <c r="H118" s="8">
        <f t="shared" si="4"/>
        <v>1</v>
      </c>
      <c r="I118" s="10" t="str">
        <f>VLOOKUP(A118,'Company X - Pincode Zones'!A:D,4,0)</f>
        <v>b</v>
      </c>
      <c r="J118" s="10" t="str">
        <f>VLOOKUP(I118,'Company X - Pincode Zones'!D:E,2,0)</f>
        <v>Forward charges</v>
      </c>
      <c r="K118" s="10" t="str">
        <f t="shared" si="6"/>
        <v>NA</v>
      </c>
      <c r="L118" s="10" t="str">
        <f>VLOOKUP(A118,Courier_compnay_invoice!B:F,5,0)</f>
        <v>d</v>
      </c>
      <c r="M118" s="7">
        <f>IFS(I118="a",(Curioer_Rate!$B$5+((D118-0.5)*2)*Curioer_Rate!$C$5),
     I118 ="b",(Curioer_Rate!$B$6+((D118-0.5)*2)*Curioer_Rate!$C$6),
     I118="c",(Curioer_Rate!$B$7+((D118-0.5)*2)*Curioer_Rate!$C$7),
     I118="d",(Curioer_Rate!$B$8+((D118-0.5)*2)*Curioer_Rate!$C$8),
     I118="e",(Curioer_Rate!$B$9+((D118-0.5)*2)*Curioer_Rate!$C$9))</f>
        <v>33</v>
      </c>
      <c r="N118" s="7" t="str">
        <f>VLOOKUP(A118,Courier_compnay_invoice!B:H,7,0)</f>
        <v>90.2</v>
      </c>
      <c r="O118" s="7">
        <f t="shared" si="5"/>
        <v>-57.2</v>
      </c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8" t="s">
        <v>249</v>
      </c>
      <c r="B119" s="8" t="s">
        <v>250</v>
      </c>
      <c r="C119" s="9">
        <f>SUMIF('Company X - order Report'!$A:$A,A119,'Company X - order Report'!$E:$E)</f>
        <v>0.945</v>
      </c>
      <c r="D119" s="10">
        <f t="shared" si="1"/>
        <v>1</v>
      </c>
      <c r="E119" s="10">
        <f t="shared" si="2"/>
        <v>1</v>
      </c>
      <c r="F119" s="10">
        <f t="shared" si="3"/>
        <v>1</v>
      </c>
      <c r="G119" s="10" t="str">
        <f>VLOOKUP(A119,Courier_compnay_invoice!B:C,2,0)</f>
        <v>1.1</v>
      </c>
      <c r="H119" s="8">
        <f t="shared" si="4"/>
        <v>1.5</v>
      </c>
      <c r="I119" s="10" t="str">
        <f>VLOOKUP(A119,'Company X - Pincode Zones'!A:D,4,0)</f>
        <v>b</v>
      </c>
      <c r="J119" s="10" t="str">
        <f>VLOOKUP(I119,'Company X - Pincode Zones'!D:E,2,0)</f>
        <v>Forward charges</v>
      </c>
      <c r="K119" s="10" t="str">
        <f t="shared" si="6"/>
        <v>NA</v>
      </c>
      <c r="L119" s="10" t="str">
        <f>VLOOKUP(A119,Courier_compnay_invoice!B:F,5,0)</f>
        <v>d</v>
      </c>
      <c r="M119" s="7">
        <f>IFS(I119="a",(Curioer_Rate!$B$5+((D119-0.5)*2)*Curioer_Rate!$C$5),
     I119 ="b",(Curioer_Rate!$B$6+((D119-0.5)*2)*Curioer_Rate!$C$6),
     I119="c",(Curioer_Rate!$B$7+((D119-0.5)*2)*Curioer_Rate!$C$7),
     I119="d",(Curioer_Rate!$B$8+((D119-0.5)*2)*Curioer_Rate!$C$8),
     I119="e",(Curioer_Rate!$B$9+((D119-0.5)*2)*Curioer_Rate!$C$9))</f>
        <v>61.3</v>
      </c>
      <c r="N119" s="7" t="str">
        <f>VLOOKUP(A119,Courier_compnay_invoice!B:H,7,0)</f>
        <v>135</v>
      </c>
      <c r="O119" s="7">
        <f t="shared" si="5"/>
        <v>-73.7</v>
      </c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8" t="s">
        <v>251</v>
      </c>
      <c r="B120" s="8" t="s">
        <v>252</v>
      </c>
      <c r="C120" s="9">
        <f>SUMIF('Company X - order Report'!$A:$A,A120,'Company X - order Report'!$E:$E)</f>
        <v>0.5</v>
      </c>
      <c r="D120" s="10">
        <f t="shared" si="1"/>
        <v>0.5</v>
      </c>
      <c r="E120" s="10">
        <f t="shared" si="2"/>
        <v>1</v>
      </c>
      <c r="F120" s="10">
        <f t="shared" si="3"/>
        <v>0</v>
      </c>
      <c r="G120" s="10" t="str">
        <f>VLOOKUP(A120,Courier_compnay_invoice!B:C,2,0)</f>
        <v>0.67</v>
      </c>
      <c r="H120" s="8">
        <f t="shared" si="4"/>
        <v>1</v>
      </c>
      <c r="I120" s="10" t="str">
        <f>VLOOKUP(A120,'Company X - Pincode Zones'!A:D,4,0)</f>
        <v>b</v>
      </c>
      <c r="J120" s="10" t="str">
        <f>VLOOKUP(I120,'Company X - Pincode Zones'!D:E,2,0)</f>
        <v>Forward charges</v>
      </c>
      <c r="K120" s="10" t="str">
        <f t="shared" si="6"/>
        <v>NA</v>
      </c>
      <c r="L120" s="10" t="str">
        <f>VLOOKUP(A120,Courier_compnay_invoice!B:F,5,0)</f>
        <v>d</v>
      </c>
      <c r="M120" s="7">
        <f>IFS(I120="a",(Curioer_Rate!$B$5+((D120-0.5)*2)*Curioer_Rate!$C$5),
     I120 ="b",(Curioer_Rate!$B$6+((D120-0.5)*2)*Curioer_Rate!$C$6),
     I120="c",(Curioer_Rate!$B$7+((D120-0.5)*2)*Curioer_Rate!$C$7),
     I120="d",(Curioer_Rate!$B$8+((D120-0.5)*2)*Curioer_Rate!$C$8),
     I120="e",(Curioer_Rate!$B$9+((D120-0.5)*2)*Curioer_Rate!$C$9))</f>
        <v>33</v>
      </c>
      <c r="N120" s="7" t="str">
        <f>VLOOKUP(A120,Courier_compnay_invoice!B:H,7,0)</f>
        <v>90.2</v>
      </c>
      <c r="O120" s="7">
        <f t="shared" si="5"/>
        <v>-57.2</v>
      </c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8" t="s">
        <v>253</v>
      </c>
      <c r="B121" s="8" t="s">
        <v>254</v>
      </c>
      <c r="C121" s="9">
        <f>SUMIF('Company X - order Report'!$A:$A,A121,'Company X - order Report'!$E:$E)</f>
        <v>0.5</v>
      </c>
      <c r="D121" s="10">
        <f t="shared" si="1"/>
        <v>0.5</v>
      </c>
      <c r="E121" s="10">
        <f t="shared" si="2"/>
        <v>1</v>
      </c>
      <c r="F121" s="10">
        <f t="shared" si="3"/>
        <v>0</v>
      </c>
      <c r="G121" s="10" t="str">
        <f>VLOOKUP(A121,Courier_compnay_invoice!B:C,2,0)</f>
        <v>0.73</v>
      </c>
      <c r="H121" s="8">
        <f t="shared" si="4"/>
        <v>1</v>
      </c>
      <c r="I121" s="10" t="str">
        <f>VLOOKUP(A121,'Company X - Pincode Zones'!A:D,4,0)</f>
        <v>b</v>
      </c>
      <c r="J121" s="10" t="str">
        <f>VLOOKUP(I121,'Company X - Pincode Zones'!D:E,2,0)</f>
        <v>Forward charges</v>
      </c>
      <c r="K121" s="10" t="str">
        <f t="shared" si="6"/>
        <v>NA</v>
      </c>
      <c r="L121" s="10" t="str">
        <f>VLOOKUP(A121,Courier_compnay_invoice!B:F,5,0)</f>
        <v>d</v>
      </c>
      <c r="M121" s="7">
        <f>IFS(I121="a",(Curioer_Rate!$B$5+((D121-0.5)*2)*Curioer_Rate!$C$5),
     I121 ="b",(Curioer_Rate!$B$6+((D121-0.5)*2)*Curioer_Rate!$C$6),
     I121="c",(Curioer_Rate!$B$7+((D121-0.5)*2)*Curioer_Rate!$C$7),
     I121="d",(Curioer_Rate!$B$8+((D121-0.5)*2)*Curioer_Rate!$C$8),
     I121="e",(Curioer_Rate!$B$9+((D121-0.5)*2)*Curioer_Rate!$C$9))</f>
        <v>33</v>
      </c>
      <c r="N121" s="7" t="str">
        <f>VLOOKUP(A121,Courier_compnay_invoice!B:H,7,0)</f>
        <v>90.2</v>
      </c>
      <c r="O121" s="7">
        <f t="shared" si="5"/>
        <v>-57.2</v>
      </c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8" t="s">
        <v>255</v>
      </c>
      <c r="B122" s="8" t="s">
        <v>256</v>
      </c>
      <c r="C122" s="9">
        <f>SUMIF('Company X - order Report'!$A:$A,A122,'Company X - order Report'!$E:$E)</f>
        <v>0.607</v>
      </c>
      <c r="D122" s="10">
        <f t="shared" si="1"/>
        <v>1</v>
      </c>
      <c r="E122" s="10">
        <f t="shared" si="2"/>
        <v>1</v>
      </c>
      <c r="F122" s="10">
        <f t="shared" si="3"/>
        <v>1</v>
      </c>
      <c r="G122" s="10" t="str">
        <f>VLOOKUP(A122,Courier_compnay_invoice!B:C,2,0)</f>
        <v>0.5</v>
      </c>
      <c r="H122" s="8">
        <f t="shared" si="4"/>
        <v>0.5</v>
      </c>
      <c r="I122" s="10" t="str">
        <f>VLOOKUP(A122,'Company X - Pincode Zones'!A:D,4,0)</f>
        <v>b</v>
      </c>
      <c r="J122" s="10" t="str">
        <f>VLOOKUP(I122,'Company X - Pincode Zones'!D:E,2,0)</f>
        <v>Forward charges</v>
      </c>
      <c r="K122" s="10" t="str">
        <f t="shared" si="6"/>
        <v>NA</v>
      </c>
      <c r="L122" s="10" t="str">
        <f>VLOOKUP(A122,Courier_compnay_invoice!B:F,5,0)</f>
        <v>d</v>
      </c>
      <c r="M122" s="7">
        <f>IFS(I122="a",(Curioer_Rate!$B$5+((D122-0.5)*2)*Curioer_Rate!$C$5),
     I122 ="b",(Curioer_Rate!$B$6+((D122-0.5)*2)*Curioer_Rate!$C$6),
     I122="c",(Curioer_Rate!$B$7+((D122-0.5)*2)*Curioer_Rate!$C$7),
     I122="d",(Curioer_Rate!$B$8+((D122-0.5)*2)*Curioer_Rate!$C$8),
     I122="e",(Curioer_Rate!$B$9+((D122-0.5)*2)*Curioer_Rate!$C$9))</f>
        <v>61.3</v>
      </c>
      <c r="N122" s="7" t="str">
        <f>VLOOKUP(A122,Courier_compnay_invoice!B:H,7,0)</f>
        <v>86.7</v>
      </c>
      <c r="O122" s="7">
        <f t="shared" si="5"/>
        <v>-25.4</v>
      </c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8" t="s">
        <v>257</v>
      </c>
      <c r="B123" s="8" t="s">
        <v>258</v>
      </c>
      <c r="C123" s="9">
        <f>SUMIF('Company X - order Report'!$A:$A,A123,'Company X - order Report'!$E:$E)</f>
        <v>0.515</v>
      </c>
      <c r="D123" s="10">
        <f t="shared" si="1"/>
        <v>1</v>
      </c>
      <c r="E123" s="10">
        <f t="shared" si="2"/>
        <v>1</v>
      </c>
      <c r="F123" s="10">
        <f t="shared" si="3"/>
        <v>1</v>
      </c>
      <c r="G123" s="10" t="str">
        <f>VLOOKUP(A123,Courier_compnay_invoice!B:C,2,0)</f>
        <v>0.5</v>
      </c>
      <c r="H123" s="8">
        <f t="shared" si="4"/>
        <v>0.5</v>
      </c>
      <c r="I123" s="10" t="str">
        <f>VLOOKUP(A123,'Company X - Pincode Zones'!A:D,4,0)</f>
        <v>b</v>
      </c>
      <c r="J123" s="10" t="str">
        <f>VLOOKUP(I123,'Company X - Pincode Zones'!D:E,2,0)</f>
        <v>Forward charges</v>
      </c>
      <c r="K123" s="10" t="str">
        <f t="shared" si="6"/>
        <v>NA</v>
      </c>
      <c r="L123" s="10" t="str">
        <f>VLOOKUP(A123,Courier_compnay_invoice!B:F,5,0)</f>
        <v>d</v>
      </c>
      <c r="M123" s="7">
        <f>IFS(I123="a",(Curioer_Rate!$B$5+((D123-0.5)*2)*Curioer_Rate!$C$5),
     I123 ="b",(Curioer_Rate!$B$6+((D123-0.5)*2)*Curioer_Rate!$C$6),
     I123="c",(Curioer_Rate!$B$7+((D123-0.5)*2)*Curioer_Rate!$C$7),
     I123="d",(Curioer_Rate!$B$8+((D123-0.5)*2)*Curioer_Rate!$C$8),
     I123="e",(Curioer_Rate!$B$9+((D123-0.5)*2)*Curioer_Rate!$C$9))</f>
        <v>61.3</v>
      </c>
      <c r="N123" s="7" t="str">
        <f>VLOOKUP(A123,Courier_compnay_invoice!B:H,7,0)</f>
        <v>45.4</v>
      </c>
      <c r="O123" s="7">
        <f t="shared" si="5"/>
        <v>15.9</v>
      </c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8" t="s">
        <v>259</v>
      </c>
      <c r="B124" s="8" t="s">
        <v>260</v>
      </c>
      <c r="C124" s="9">
        <f>SUMIF('Company X - order Report'!$A:$A,A124,'Company X - order Report'!$E:$E)</f>
        <v>0.689</v>
      </c>
      <c r="D124" s="10">
        <f t="shared" si="1"/>
        <v>1</v>
      </c>
      <c r="E124" s="10">
        <f t="shared" si="2"/>
        <v>1</v>
      </c>
      <c r="F124" s="10">
        <f t="shared" si="3"/>
        <v>1</v>
      </c>
      <c r="G124" s="10" t="str">
        <f>VLOOKUP(A124,Courier_compnay_invoice!B:C,2,0)</f>
        <v>0.5</v>
      </c>
      <c r="H124" s="8">
        <f t="shared" si="4"/>
        <v>0.5</v>
      </c>
      <c r="I124" s="10" t="str">
        <f>VLOOKUP(A124,'Company X - Pincode Zones'!A:D,4,0)</f>
        <v>e</v>
      </c>
      <c r="J124" s="10" t="str">
        <f>VLOOKUP(I124,'Company X - Pincode Zones'!D:E,2,0)</f>
        <v>Forward and RTO charges</v>
      </c>
      <c r="K124" s="10" t="str">
        <f t="shared" si="6"/>
        <v>NA</v>
      </c>
      <c r="L124" s="10" t="str">
        <f>VLOOKUP(A124,Courier_compnay_invoice!B:F,5,0)</f>
        <v>b</v>
      </c>
      <c r="M124" s="7">
        <f>IFS(I124="a",(Curioer_Rate!$B$5+((D124-0.5)*2)*Curioer_Rate!$C$5),
     I124 ="b",(Curioer_Rate!$B$6+((D124-0.5)*2)*Curioer_Rate!$C$6),
     I124="c",(Curioer_Rate!$B$7+((D124-0.5)*2)*Curioer_Rate!$C$7),
     I124="d",(Curioer_Rate!$B$8+((D124-0.5)*2)*Curioer_Rate!$C$8),
     I124="e",(Curioer_Rate!$B$9+((D124-0.5)*2)*Curioer_Rate!$C$9))</f>
        <v>112.1</v>
      </c>
      <c r="N124" s="7" t="str">
        <f>VLOOKUP(A124,Courier_compnay_invoice!B:H,7,0)</f>
        <v>33</v>
      </c>
      <c r="O124" s="7">
        <f t="shared" si="5"/>
        <v>79.1</v>
      </c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8" t="s">
        <v>261</v>
      </c>
      <c r="B125" s="8" t="s">
        <v>262</v>
      </c>
      <c r="C125" s="9">
        <f>SUMIF('Company X - order Report'!$A:$A,A125,'Company X - order Report'!$E:$E)</f>
        <v>0.75</v>
      </c>
      <c r="D125" s="10">
        <f t="shared" si="1"/>
        <v>1</v>
      </c>
      <c r="E125" s="10">
        <f t="shared" si="2"/>
        <v>1</v>
      </c>
      <c r="F125" s="10">
        <f t="shared" si="3"/>
        <v>1</v>
      </c>
      <c r="G125" s="10" t="str">
        <f>VLOOKUP(A125,Courier_compnay_invoice!B:C,2,0)</f>
        <v>0.5</v>
      </c>
      <c r="H125" s="8">
        <f t="shared" si="4"/>
        <v>0.5</v>
      </c>
      <c r="I125" s="10" t="str">
        <f>VLOOKUP(A125,'Company X - Pincode Zones'!A:D,4,0)</f>
        <v>b</v>
      </c>
      <c r="J125" s="10" t="str">
        <f>VLOOKUP(I125,'Company X - Pincode Zones'!D:E,2,0)</f>
        <v>Forward charges</v>
      </c>
      <c r="K125" s="10" t="str">
        <f t="shared" si="6"/>
        <v>NA</v>
      </c>
      <c r="L125" s="10" t="str">
        <f>VLOOKUP(A125,Courier_compnay_invoice!B:F,5,0)</f>
        <v>d</v>
      </c>
      <c r="M125" s="7">
        <f>IFS(I125="a",(Curioer_Rate!$B$5+((D125-0.5)*2)*Curioer_Rate!$C$5),
     I125 ="b",(Curioer_Rate!$B$6+((D125-0.5)*2)*Curioer_Rate!$C$6),
     I125="c",(Curioer_Rate!$B$7+((D125-0.5)*2)*Curioer_Rate!$C$7),
     I125="d",(Curioer_Rate!$B$8+((D125-0.5)*2)*Curioer_Rate!$C$8),
     I125="e",(Curioer_Rate!$B$9+((D125-0.5)*2)*Curioer_Rate!$C$9))</f>
        <v>61.3</v>
      </c>
      <c r="N125" s="7" t="str">
        <f>VLOOKUP(A125,Courier_compnay_invoice!B:H,7,0)</f>
        <v>45.4</v>
      </c>
      <c r="O125" s="7">
        <f t="shared" si="5"/>
        <v>15.9</v>
      </c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9"/>
      <c r="D126" s="10"/>
      <c r="E126" s="10"/>
      <c r="F126" s="10"/>
      <c r="G126" s="10"/>
      <c r="H126" s="10"/>
      <c r="I126" s="10"/>
      <c r="J126" s="10"/>
      <c r="K126" s="10"/>
      <c r="L126" s="10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9"/>
      <c r="D127" s="10"/>
      <c r="E127" s="10"/>
      <c r="F127" s="10"/>
      <c r="G127" s="10"/>
      <c r="H127" s="10"/>
      <c r="I127" s="10"/>
      <c r="J127" s="10"/>
      <c r="K127" s="10"/>
      <c r="L127" s="10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9"/>
      <c r="D128" s="10"/>
      <c r="E128" s="10"/>
      <c r="F128" s="10"/>
      <c r="G128" s="10"/>
      <c r="H128" s="10"/>
      <c r="I128" s="10"/>
      <c r="J128" s="10"/>
      <c r="K128" s="10"/>
      <c r="L128" s="10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9"/>
      <c r="D129" s="10"/>
      <c r="E129" s="10"/>
      <c r="F129" s="10"/>
      <c r="G129" s="10"/>
      <c r="H129" s="10"/>
      <c r="I129" s="10"/>
      <c r="J129" s="10"/>
      <c r="K129" s="10"/>
      <c r="L129" s="10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9"/>
      <c r="D130" s="10"/>
      <c r="E130" s="10"/>
      <c r="F130" s="10"/>
      <c r="G130" s="10"/>
      <c r="H130" s="10"/>
      <c r="I130" s="10"/>
      <c r="J130" s="10"/>
      <c r="K130" s="10"/>
      <c r="L130" s="10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9"/>
      <c r="D131" s="10"/>
      <c r="E131" s="10"/>
      <c r="F131" s="10"/>
      <c r="G131" s="10"/>
      <c r="H131" s="10"/>
      <c r="I131" s="10"/>
      <c r="J131" s="10"/>
      <c r="K131" s="10"/>
      <c r="L131" s="10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9"/>
      <c r="D132" s="10"/>
      <c r="E132" s="10"/>
      <c r="F132" s="10"/>
      <c r="G132" s="10"/>
      <c r="H132" s="10"/>
      <c r="I132" s="10"/>
      <c r="J132" s="10"/>
      <c r="K132" s="10"/>
      <c r="L132" s="10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9"/>
      <c r="D133" s="10"/>
      <c r="E133" s="10"/>
      <c r="F133" s="10"/>
      <c r="G133" s="10"/>
      <c r="H133" s="10"/>
      <c r="I133" s="10"/>
      <c r="J133" s="10"/>
      <c r="K133" s="10"/>
      <c r="L133" s="10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9"/>
      <c r="D134" s="10"/>
      <c r="E134" s="10"/>
      <c r="F134" s="10"/>
      <c r="G134" s="10"/>
      <c r="H134" s="10"/>
      <c r="I134" s="10"/>
      <c r="J134" s="10"/>
      <c r="K134" s="10"/>
      <c r="L134" s="10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9"/>
      <c r="D135" s="10"/>
      <c r="E135" s="10"/>
      <c r="F135" s="10"/>
      <c r="G135" s="10"/>
      <c r="H135" s="10"/>
      <c r="I135" s="10"/>
      <c r="J135" s="10"/>
      <c r="K135" s="10"/>
      <c r="L135" s="10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9"/>
      <c r="D136" s="10"/>
      <c r="E136" s="10"/>
      <c r="F136" s="10"/>
      <c r="G136" s="10"/>
      <c r="H136" s="10"/>
      <c r="I136" s="10"/>
      <c r="J136" s="10"/>
      <c r="K136" s="10"/>
      <c r="L136" s="10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9"/>
      <c r="D137" s="10"/>
      <c r="E137" s="10"/>
      <c r="F137" s="10"/>
      <c r="G137" s="10"/>
      <c r="H137" s="10"/>
      <c r="I137" s="10"/>
      <c r="J137" s="10"/>
      <c r="K137" s="10"/>
      <c r="L137" s="10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9"/>
      <c r="D138" s="10"/>
      <c r="E138" s="10"/>
      <c r="F138" s="10"/>
      <c r="G138" s="10"/>
      <c r="H138" s="10"/>
      <c r="I138" s="10"/>
      <c r="J138" s="10"/>
      <c r="K138" s="10"/>
      <c r="L138" s="10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9"/>
      <c r="D139" s="10"/>
      <c r="E139" s="10"/>
      <c r="F139" s="10"/>
      <c r="G139" s="10"/>
      <c r="H139" s="10"/>
      <c r="I139" s="10"/>
      <c r="J139" s="10"/>
      <c r="K139" s="10"/>
      <c r="L139" s="10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9"/>
      <c r="D140" s="10"/>
      <c r="E140" s="10"/>
      <c r="F140" s="10"/>
      <c r="G140" s="10"/>
      <c r="H140" s="10"/>
      <c r="I140" s="10"/>
      <c r="J140" s="10"/>
      <c r="K140" s="10"/>
      <c r="L140" s="10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9"/>
      <c r="D141" s="10"/>
      <c r="E141" s="10"/>
      <c r="F141" s="10"/>
      <c r="G141" s="10"/>
      <c r="H141" s="10"/>
      <c r="I141" s="10"/>
      <c r="J141" s="10"/>
      <c r="K141" s="10"/>
      <c r="L141" s="10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9"/>
      <c r="D142" s="10"/>
      <c r="E142" s="10"/>
      <c r="F142" s="10"/>
      <c r="G142" s="10"/>
      <c r="H142" s="10"/>
      <c r="I142" s="10"/>
      <c r="J142" s="10"/>
      <c r="K142" s="10"/>
      <c r="L142" s="10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9"/>
      <c r="D143" s="10"/>
      <c r="E143" s="10"/>
      <c r="F143" s="10"/>
      <c r="G143" s="10"/>
      <c r="H143" s="10"/>
      <c r="I143" s="10"/>
      <c r="J143" s="10"/>
      <c r="K143" s="10"/>
      <c r="L143" s="10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9"/>
      <c r="D144" s="10"/>
      <c r="E144" s="10"/>
      <c r="F144" s="10"/>
      <c r="G144" s="10"/>
      <c r="H144" s="10"/>
      <c r="I144" s="10"/>
      <c r="J144" s="10"/>
      <c r="K144" s="10"/>
      <c r="L144" s="10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9"/>
      <c r="D145" s="10"/>
      <c r="E145" s="10"/>
      <c r="F145" s="10"/>
      <c r="G145" s="10"/>
      <c r="H145" s="10"/>
      <c r="I145" s="10"/>
      <c r="J145" s="10"/>
      <c r="K145" s="10"/>
      <c r="L145" s="10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9"/>
      <c r="D146" s="10"/>
      <c r="E146" s="10"/>
      <c r="F146" s="10"/>
      <c r="G146" s="10"/>
      <c r="H146" s="10"/>
      <c r="I146" s="10"/>
      <c r="J146" s="10"/>
      <c r="K146" s="10"/>
      <c r="L146" s="10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9"/>
      <c r="D147" s="10"/>
      <c r="E147" s="10"/>
      <c r="F147" s="10"/>
      <c r="G147" s="10"/>
      <c r="H147" s="10"/>
      <c r="I147" s="10"/>
      <c r="J147" s="10"/>
      <c r="K147" s="10"/>
      <c r="L147" s="10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9"/>
      <c r="D148" s="10"/>
      <c r="E148" s="10"/>
      <c r="F148" s="10"/>
      <c r="G148" s="10"/>
      <c r="H148" s="10"/>
      <c r="I148" s="10"/>
      <c r="J148" s="10"/>
      <c r="K148" s="10"/>
      <c r="L148" s="10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9"/>
      <c r="D149" s="10"/>
      <c r="E149" s="10"/>
      <c r="F149" s="10"/>
      <c r="G149" s="10"/>
      <c r="H149" s="10"/>
      <c r="I149" s="10"/>
      <c r="J149" s="10"/>
      <c r="K149" s="10"/>
      <c r="L149" s="10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9"/>
      <c r="D150" s="10"/>
      <c r="E150" s="10"/>
      <c r="F150" s="10"/>
      <c r="G150" s="10"/>
      <c r="H150" s="10"/>
      <c r="I150" s="10"/>
      <c r="J150" s="10"/>
      <c r="K150" s="10"/>
      <c r="L150" s="10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9"/>
      <c r="D151" s="10"/>
      <c r="E151" s="10"/>
      <c r="F151" s="10"/>
      <c r="G151" s="10"/>
      <c r="H151" s="10"/>
      <c r="I151" s="10"/>
      <c r="J151" s="10"/>
      <c r="K151" s="10"/>
      <c r="L151" s="10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9"/>
      <c r="D152" s="10"/>
      <c r="E152" s="10"/>
      <c r="F152" s="10"/>
      <c r="G152" s="10"/>
      <c r="H152" s="10"/>
      <c r="I152" s="10"/>
      <c r="J152" s="10"/>
      <c r="K152" s="10"/>
      <c r="L152" s="10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9"/>
      <c r="D153" s="10"/>
      <c r="E153" s="10"/>
      <c r="F153" s="10"/>
      <c r="G153" s="10"/>
      <c r="H153" s="10"/>
      <c r="I153" s="10"/>
      <c r="J153" s="10"/>
      <c r="K153" s="10"/>
      <c r="L153" s="10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9"/>
      <c r="D154" s="10"/>
      <c r="E154" s="10"/>
      <c r="F154" s="10"/>
      <c r="G154" s="10"/>
      <c r="H154" s="10"/>
      <c r="I154" s="10"/>
      <c r="J154" s="10"/>
      <c r="K154" s="10"/>
      <c r="L154" s="10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9"/>
      <c r="D155" s="10"/>
      <c r="E155" s="10"/>
      <c r="F155" s="10"/>
      <c r="G155" s="10"/>
      <c r="H155" s="10"/>
      <c r="I155" s="10"/>
      <c r="J155" s="10"/>
      <c r="K155" s="10"/>
      <c r="L155" s="10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9"/>
      <c r="D156" s="10"/>
      <c r="E156" s="10"/>
      <c r="F156" s="10"/>
      <c r="G156" s="10"/>
      <c r="H156" s="10"/>
      <c r="I156" s="10"/>
      <c r="J156" s="10"/>
      <c r="K156" s="10"/>
      <c r="L156" s="10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9"/>
      <c r="D157" s="10"/>
      <c r="E157" s="10"/>
      <c r="F157" s="10"/>
      <c r="G157" s="10"/>
      <c r="H157" s="10"/>
      <c r="I157" s="10"/>
      <c r="J157" s="10"/>
      <c r="K157" s="10"/>
      <c r="L157" s="10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9"/>
      <c r="D158" s="10"/>
      <c r="E158" s="10"/>
      <c r="F158" s="10"/>
      <c r="G158" s="10"/>
      <c r="H158" s="10"/>
      <c r="I158" s="10"/>
      <c r="J158" s="10"/>
      <c r="K158" s="10"/>
      <c r="L158" s="10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9"/>
      <c r="D159" s="10"/>
      <c r="E159" s="10"/>
      <c r="F159" s="10"/>
      <c r="G159" s="10"/>
      <c r="H159" s="10"/>
      <c r="I159" s="10"/>
      <c r="J159" s="10"/>
      <c r="K159" s="10"/>
      <c r="L159" s="10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9"/>
      <c r="D160" s="10"/>
      <c r="E160" s="10"/>
      <c r="F160" s="10"/>
      <c r="G160" s="10"/>
      <c r="H160" s="10"/>
      <c r="I160" s="10"/>
      <c r="J160" s="10"/>
      <c r="K160" s="10"/>
      <c r="L160" s="10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9"/>
      <c r="D161" s="10"/>
      <c r="E161" s="10"/>
      <c r="F161" s="10"/>
      <c r="G161" s="10"/>
      <c r="H161" s="10"/>
      <c r="I161" s="10"/>
      <c r="J161" s="10"/>
      <c r="K161" s="10"/>
      <c r="L161" s="10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9"/>
      <c r="D162" s="10"/>
      <c r="E162" s="10"/>
      <c r="F162" s="10"/>
      <c r="G162" s="10"/>
      <c r="H162" s="10"/>
      <c r="I162" s="10"/>
      <c r="J162" s="10"/>
      <c r="K162" s="10"/>
      <c r="L162" s="10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9"/>
      <c r="D163" s="10"/>
      <c r="E163" s="10"/>
      <c r="F163" s="10"/>
      <c r="G163" s="10"/>
      <c r="H163" s="10"/>
      <c r="I163" s="10"/>
      <c r="J163" s="10"/>
      <c r="K163" s="10"/>
      <c r="L163" s="10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9"/>
      <c r="D164" s="10"/>
      <c r="E164" s="10"/>
      <c r="F164" s="10"/>
      <c r="G164" s="10"/>
      <c r="H164" s="10"/>
      <c r="I164" s="10"/>
      <c r="J164" s="10"/>
      <c r="K164" s="10"/>
      <c r="L164" s="10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9"/>
      <c r="D165" s="10"/>
      <c r="E165" s="10"/>
      <c r="F165" s="10"/>
      <c r="G165" s="10"/>
      <c r="H165" s="10"/>
      <c r="I165" s="10"/>
      <c r="J165" s="10"/>
      <c r="K165" s="10"/>
      <c r="L165" s="10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9"/>
      <c r="D166" s="10"/>
      <c r="E166" s="10"/>
      <c r="F166" s="10"/>
      <c r="G166" s="10"/>
      <c r="H166" s="10"/>
      <c r="I166" s="10"/>
      <c r="J166" s="10"/>
      <c r="K166" s="10"/>
      <c r="L166" s="10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9"/>
      <c r="D167" s="10"/>
      <c r="E167" s="10"/>
      <c r="F167" s="10"/>
      <c r="G167" s="10"/>
      <c r="H167" s="10"/>
      <c r="I167" s="10"/>
      <c r="J167" s="10"/>
      <c r="K167" s="10"/>
      <c r="L167" s="10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9"/>
      <c r="D168" s="10"/>
      <c r="E168" s="10"/>
      <c r="F168" s="10"/>
      <c r="G168" s="10"/>
      <c r="H168" s="10"/>
      <c r="I168" s="10"/>
      <c r="J168" s="10"/>
      <c r="K168" s="10"/>
      <c r="L168" s="10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9"/>
      <c r="D169" s="10"/>
      <c r="E169" s="10"/>
      <c r="F169" s="10"/>
      <c r="G169" s="10"/>
      <c r="H169" s="10"/>
      <c r="I169" s="10"/>
      <c r="J169" s="10"/>
      <c r="K169" s="10"/>
      <c r="L169" s="10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9"/>
      <c r="D170" s="10"/>
      <c r="E170" s="10"/>
      <c r="F170" s="10"/>
      <c r="G170" s="10"/>
      <c r="H170" s="10"/>
      <c r="I170" s="10"/>
      <c r="J170" s="10"/>
      <c r="K170" s="10"/>
      <c r="L170" s="10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9"/>
      <c r="D171" s="10"/>
      <c r="E171" s="10"/>
      <c r="F171" s="10"/>
      <c r="G171" s="10"/>
      <c r="H171" s="10"/>
      <c r="I171" s="10"/>
      <c r="J171" s="10"/>
      <c r="K171" s="10"/>
      <c r="L171" s="10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9"/>
      <c r="D172" s="10"/>
      <c r="E172" s="10"/>
      <c r="F172" s="10"/>
      <c r="G172" s="10"/>
      <c r="H172" s="10"/>
      <c r="I172" s="10"/>
      <c r="J172" s="10"/>
      <c r="K172" s="10"/>
      <c r="L172" s="10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9"/>
      <c r="D173" s="10"/>
      <c r="E173" s="10"/>
      <c r="F173" s="10"/>
      <c r="G173" s="10"/>
      <c r="H173" s="10"/>
      <c r="I173" s="10"/>
      <c r="J173" s="10"/>
      <c r="K173" s="10"/>
      <c r="L173" s="10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9"/>
      <c r="D174" s="10"/>
      <c r="E174" s="10"/>
      <c r="F174" s="10"/>
      <c r="G174" s="10"/>
      <c r="H174" s="10"/>
      <c r="I174" s="10"/>
      <c r="J174" s="10"/>
      <c r="K174" s="10"/>
      <c r="L174" s="10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9"/>
      <c r="D175" s="10"/>
      <c r="E175" s="10"/>
      <c r="F175" s="10"/>
      <c r="G175" s="10"/>
      <c r="H175" s="10"/>
      <c r="I175" s="10"/>
      <c r="J175" s="10"/>
      <c r="K175" s="10"/>
      <c r="L175" s="10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9"/>
      <c r="D176" s="10"/>
      <c r="E176" s="10"/>
      <c r="F176" s="10"/>
      <c r="G176" s="10"/>
      <c r="H176" s="10"/>
      <c r="I176" s="10"/>
      <c r="J176" s="10"/>
      <c r="K176" s="10"/>
      <c r="L176" s="10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9"/>
      <c r="D177" s="10"/>
      <c r="E177" s="10"/>
      <c r="F177" s="10"/>
      <c r="G177" s="10"/>
      <c r="H177" s="10"/>
      <c r="I177" s="10"/>
      <c r="J177" s="10"/>
      <c r="K177" s="10"/>
      <c r="L177" s="10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9"/>
      <c r="D178" s="10"/>
      <c r="E178" s="10"/>
      <c r="F178" s="10"/>
      <c r="G178" s="10"/>
      <c r="H178" s="10"/>
      <c r="I178" s="10"/>
      <c r="J178" s="10"/>
      <c r="K178" s="10"/>
      <c r="L178" s="10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9"/>
      <c r="D179" s="10"/>
      <c r="E179" s="10"/>
      <c r="F179" s="10"/>
      <c r="G179" s="10"/>
      <c r="H179" s="10"/>
      <c r="I179" s="10"/>
      <c r="J179" s="10"/>
      <c r="K179" s="10"/>
      <c r="L179" s="10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9"/>
      <c r="D180" s="10"/>
      <c r="E180" s="10"/>
      <c r="F180" s="10"/>
      <c r="G180" s="10"/>
      <c r="H180" s="10"/>
      <c r="I180" s="10"/>
      <c r="J180" s="10"/>
      <c r="K180" s="10"/>
      <c r="L180" s="10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9"/>
      <c r="D181" s="10"/>
      <c r="E181" s="10"/>
      <c r="F181" s="10"/>
      <c r="G181" s="10"/>
      <c r="H181" s="10"/>
      <c r="I181" s="10"/>
      <c r="J181" s="10"/>
      <c r="K181" s="10"/>
      <c r="L181" s="10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9"/>
      <c r="D182" s="10"/>
      <c r="E182" s="10"/>
      <c r="F182" s="10"/>
      <c r="G182" s="10"/>
      <c r="H182" s="10"/>
      <c r="I182" s="10"/>
      <c r="J182" s="10"/>
      <c r="K182" s="10"/>
      <c r="L182" s="10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9"/>
      <c r="D183" s="10"/>
      <c r="E183" s="10"/>
      <c r="F183" s="10"/>
      <c r="G183" s="10"/>
      <c r="H183" s="10"/>
      <c r="I183" s="10"/>
      <c r="J183" s="10"/>
      <c r="K183" s="10"/>
      <c r="L183" s="10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9"/>
      <c r="D184" s="10"/>
      <c r="E184" s="10"/>
      <c r="F184" s="10"/>
      <c r="G184" s="10"/>
      <c r="H184" s="10"/>
      <c r="I184" s="10"/>
      <c r="J184" s="10"/>
      <c r="K184" s="10"/>
      <c r="L184" s="10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9"/>
      <c r="D185" s="10"/>
      <c r="E185" s="10"/>
      <c r="F185" s="10"/>
      <c r="G185" s="10"/>
      <c r="H185" s="10"/>
      <c r="I185" s="10"/>
      <c r="J185" s="10"/>
      <c r="K185" s="10"/>
      <c r="L185" s="10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9"/>
      <c r="D186" s="10"/>
      <c r="E186" s="10"/>
      <c r="F186" s="10"/>
      <c r="G186" s="10"/>
      <c r="H186" s="10"/>
      <c r="I186" s="10"/>
      <c r="J186" s="10"/>
      <c r="K186" s="10"/>
      <c r="L186" s="10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9"/>
      <c r="D187" s="10"/>
      <c r="E187" s="10"/>
      <c r="F187" s="10"/>
      <c r="G187" s="10"/>
      <c r="H187" s="10"/>
      <c r="I187" s="10"/>
      <c r="J187" s="10"/>
      <c r="K187" s="10"/>
      <c r="L187" s="10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9"/>
      <c r="D188" s="10"/>
      <c r="E188" s="10"/>
      <c r="F188" s="10"/>
      <c r="G188" s="10"/>
      <c r="H188" s="10"/>
      <c r="I188" s="10"/>
      <c r="J188" s="10"/>
      <c r="K188" s="10"/>
      <c r="L188" s="10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9"/>
      <c r="D189" s="10"/>
      <c r="E189" s="10"/>
      <c r="F189" s="10"/>
      <c r="G189" s="10"/>
      <c r="H189" s="10"/>
      <c r="I189" s="10"/>
      <c r="J189" s="10"/>
      <c r="K189" s="10"/>
      <c r="L189" s="10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9"/>
      <c r="D190" s="10"/>
      <c r="E190" s="10"/>
      <c r="F190" s="10"/>
      <c r="G190" s="10"/>
      <c r="H190" s="10"/>
      <c r="I190" s="10"/>
      <c r="J190" s="10"/>
      <c r="K190" s="10"/>
      <c r="L190" s="10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9"/>
      <c r="D191" s="10"/>
      <c r="E191" s="10"/>
      <c r="F191" s="10"/>
      <c r="G191" s="10"/>
      <c r="H191" s="10"/>
      <c r="I191" s="10"/>
      <c r="J191" s="10"/>
      <c r="K191" s="10"/>
      <c r="L191" s="10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9"/>
      <c r="D192" s="10"/>
      <c r="E192" s="10"/>
      <c r="F192" s="10"/>
      <c r="G192" s="10"/>
      <c r="H192" s="10"/>
      <c r="I192" s="10"/>
      <c r="J192" s="10"/>
      <c r="K192" s="10"/>
      <c r="L192" s="10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9"/>
      <c r="D193" s="10"/>
      <c r="E193" s="10"/>
      <c r="F193" s="10"/>
      <c r="G193" s="10"/>
      <c r="H193" s="10"/>
      <c r="I193" s="10"/>
      <c r="J193" s="10"/>
      <c r="K193" s="10"/>
      <c r="L193" s="10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9"/>
      <c r="D194" s="10"/>
      <c r="E194" s="10"/>
      <c r="F194" s="10"/>
      <c r="G194" s="10"/>
      <c r="H194" s="10"/>
      <c r="I194" s="10"/>
      <c r="J194" s="10"/>
      <c r="K194" s="10"/>
      <c r="L194" s="10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9"/>
      <c r="D195" s="10"/>
      <c r="E195" s="10"/>
      <c r="F195" s="10"/>
      <c r="G195" s="10"/>
      <c r="H195" s="10"/>
      <c r="I195" s="10"/>
      <c r="J195" s="10"/>
      <c r="K195" s="10"/>
      <c r="L195" s="10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9"/>
      <c r="D196" s="10"/>
      <c r="E196" s="10"/>
      <c r="F196" s="10"/>
      <c r="G196" s="10"/>
      <c r="H196" s="10"/>
      <c r="I196" s="10"/>
      <c r="J196" s="10"/>
      <c r="K196" s="10"/>
      <c r="L196" s="10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9"/>
      <c r="D197" s="10"/>
      <c r="E197" s="10"/>
      <c r="F197" s="10"/>
      <c r="G197" s="10"/>
      <c r="H197" s="10"/>
      <c r="I197" s="10"/>
      <c r="J197" s="10"/>
      <c r="K197" s="10"/>
      <c r="L197" s="10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9"/>
      <c r="D198" s="10"/>
      <c r="E198" s="10"/>
      <c r="F198" s="10"/>
      <c r="G198" s="10"/>
      <c r="H198" s="10"/>
      <c r="I198" s="10"/>
      <c r="J198" s="10"/>
      <c r="K198" s="10"/>
      <c r="L198" s="10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9"/>
      <c r="D199" s="10"/>
      <c r="E199" s="10"/>
      <c r="F199" s="10"/>
      <c r="G199" s="10"/>
      <c r="H199" s="10"/>
      <c r="I199" s="10"/>
      <c r="J199" s="10"/>
      <c r="K199" s="10"/>
      <c r="L199" s="10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9"/>
      <c r="D200" s="10"/>
      <c r="E200" s="10"/>
      <c r="F200" s="10"/>
      <c r="G200" s="10"/>
      <c r="H200" s="10"/>
      <c r="I200" s="10"/>
      <c r="J200" s="10"/>
      <c r="K200" s="10"/>
      <c r="L200" s="10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9"/>
      <c r="D201" s="10"/>
      <c r="E201" s="10"/>
      <c r="F201" s="10"/>
      <c r="G201" s="10"/>
      <c r="H201" s="10"/>
      <c r="I201" s="10"/>
      <c r="J201" s="10"/>
      <c r="K201" s="10"/>
      <c r="L201" s="10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9"/>
      <c r="D202" s="10"/>
      <c r="E202" s="10"/>
      <c r="F202" s="10"/>
      <c r="G202" s="10"/>
      <c r="H202" s="10"/>
      <c r="I202" s="10"/>
      <c r="J202" s="10"/>
      <c r="K202" s="10"/>
      <c r="L202" s="10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9"/>
      <c r="D203" s="10"/>
      <c r="E203" s="10"/>
      <c r="F203" s="10"/>
      <c r="G203" s="10"/>
      <c r="H203" s="10"/>
      <c r="I203" s="10"/>
      <c r="J203" s="10"/>
      <c r="K203" s="10"/>
      <c r="L203" s="10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9"/>
      <c r="D204" s="10"/>
      <c r="E204" s="10"/>
      <c r="F204" s="10"/>
      <c r="G204" s="10"/>
      <c r="H204" s="10"/>
      <c r="I204" s="10"/>
      <c r="J204" s="10"/>
      <c r="K204" s="10"/>
      <c r="L204" s="10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9"/>
      <c r="D205" s="10"/>
      <c r="E205" s="10"/>
      <c r="F205" s="10"/>
      <c r="G205" s="10"/>
      <c r="H205" s="10"/>
      <c r="I205" s="10"/>
      <c r="J205" s="10"/>
      <c r="K205" s="10"/>
      <c r="L205" s="10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9"/>
      <c r="D206" s="10"/>
      <c r="E206" s="10"/>
      <c r="F206" s="10"/>
      <c r="G206" s="10"/>
      <c r="H206" s="10"/>
      <c r="I206" s="10"/>
      <c r="J206" s="10"/>
      <c r="K206" s="10"/>
      <c r="L206" s="10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9"/>
      <c r="D207" s="10"/>
      <c r="E207" s="10"/>
      <c r="F207" s="10"/>
      <c r="G207" s="10"/>
      <c r="H207" s="10"/>
      <c r="I207" s="10"/>
      <c r="J207" s="10"/>
      <c r="K207" s="10"/>
      <c r="L207" s="10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9"/>
      <c r="D208" s="10"/>
      <c r="E208" s="10"/>
      <c r="F208" s="10"/>
      <c r="G208" s="10"/>
      <c r="H208" s="10"/>
      <c r="I208" s="10"/>
      <c r="J208" s="10"/>
      <c r="K208" s="10"/>
      <c r="L208" s="10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9"/>
      <c r="D209" s="10"/>
      <c r="E209" s="10"/>
      <c r="F209" s="10"/>
      <c r="G209" s="10"/>
      <c r="H209" s="10"/>
      <c r="I209" s="10"/>
      <c r="J209" s="10"/>
      <c r="K209" s="10"/>
      <c r="L209" s="10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9"/>
      <c r="D210" s="10"/>
      <c r="E210" s="10"/>
      <c r="F210" s="10"/>
      <c r="G210" s="10"/>
      <c r="H210" s="10"/>
      <c r="I210" s="10"/>
      <c r="J210" s="10"/>
      <c r="K210" s="10"/>
      <c r="L210" s="10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9"/>
      <c r="D211" s="10"/>
      <c r="E211" s="10"/>
      <c r="F211" s="10"/>
      <c r="G211" s="10"/>
      <c r="H211" s="10"/>
      <c r="I211" s="10"/>
      <c r="J211" s="10"/>
      <c r="K211" s="10"/>
      <c r="L211" s="10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9"/>
      <c r="D212" s="10"/>
      <c r="E212" s="10"/>
      <c r="F212" s="10"/>
      <c r="G212" s="10"/>
      <c r="H212" s="10"/>
      <c r="I212" s="10"/>
      <c r="J212" s="10"/>
      <c r="K212" s="10"/>
      <c r="L212" s="10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9"/>
      <c r="D213" s="10"/>
      <c r="E213" s="10"/>
      <c r="F213" s="10"/>
      <c r="G213" s="10"/>
      <c r="H213" s="10"/>
      <c r="I213" s="10"/>
      <c r="J213" s="10"/>
      <c r="K213" s="10"/>
      <c r="L213" s="10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9"/>
      <c r="D214" s="10"/>
      <c r="E214" s="10"/>
      <c r="F214" s="10"/>
      <c r="G214" s="10"/>
      <c r="H214" s="10"/>
      <c r="I214" s="10"/>
      <c r="J214" s="10"/>
      <c r="K214" s="10"/>
      <c r="L214" s="10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9"/>
      <c r="D215" s="10"/>
      <c r="E215" s="10"/>
      <c r="F215" s="10"/>
      <c r="G215" s="10"/>
      <c r="H215" s="10"/>
      <c r="I215" s="10"/>
      <c r="J215" s="10"/>
      <c r="K215" s="10"/>
      <c r="L215" s="10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9"/>
      <c r="D216" s="10"/>
      <c r="E216" s="10"/>
      <c r="F216" s="10"/>
      <c r="G216" s="10"/>
      <c r="H216" s="10"/>
      <c r="I216" s="10"/>
      <c r="J216" s="10"/>
      <c r="K216" s="10"/>
      <c r="L216" s="10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9"/>
      <c r="D217" s="10"/>
      <c r="E217" s="10"/>
      <c r="F217" s="10"/>
      <c r="G217" s="10"/>
      <c r="H217" s="10"/>
      <c r="I217" s="10"/>
      <c r="J217" s="10"/>
      <c r="K217" s="10"/>
      <c r="L217" s="10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9"/>
      <c r="D218" s="10"/>
      <c r="E218" s="10"/>
      <c r="F218" s="10"/>
      <c r="G218" s="10"/>
      <c r="H218" s="10"/>
      <c r="I218" s="10"/>
      <c r="J218" s="10"/>
      <c r="K218" s="10"/>
      <c r="L218" s="10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9"/>
      <c r="D219" s="10"/>
      <c r="E219" s="10"/>
      <c r="F219" s="10"/>
      <c r="G219" s="10"/>
      <c r="H219" s="10"/>
      <c r="I219" s="10"/>
      <c r="J219" s="10"/>
      <c r="K219" s="10"/>
      <c r="L219" s="10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9"/>
      <c r="D220" s="10"/>
      <c r="E220" s="10"/>
      <c r="F220" s="10"/>
      <c r="G220" s="10"/>
      <c r="H220" s="10"/>
      <c r="I220" s="10"/>
      <c r="J220" s="10"/>
      <c r="K220" s="10"/>
      <c r="L220" s="10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9"/>
      <c r="D221" s="10"/>
      <c r="E221" s="10"/>
      <c r="F221" s="10"/>
      <c r="G221" s="10"/>
      <c r="H221" s="10"/>
      <c r="I221" s="10"/>
      <c r="J221" s="10"/>
      <c r="K221" s="10"/>
      <c r="L221" s="10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9"/>
      <c r="D222" s="10"/>
      <c r="E222" s="10"/>
      <c r="F222" s="10"/>
      <c r="G222" s="10"/>
      <c r="H222" s="10"/>
      <c r="I222" s="10"/>
      <c r="J222" s="10"/>
      <c r="K222" s="10"/>
      <c r="L222" s="10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9"/>
      <c r="D223" s="10"/>
      <c r="E223" s="10"/>
      <c r="F223" s="10"/>
      <c r="G223" s="10"/>
      <c r="H223" s="10"/>
      <c r="I223" s="10"/>
      <c r="J223" s="10"/>
      <c r="K223" s="10"/>
      <c r="L223" s="10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9"/>
      <c r="D224" s="10"/>
      <c r="E224" s="10"/>
      <c r="F224" s="10"/>
      <c r="G224" s="10"/>
      <c r="H224" s="10"/>
      <c r="I224" s="10"/>
      <c r="J224" s="10"/>
      <c r="K224" s="10"/>
      <c r="L224" s="10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9"/>
      <c r="D225" s="10"/>
      <c r="E225" s="10"/>
      <c r="F225" s="10"/>
      <c r="G225" s="10"/>
      <c r="H225" s="10"/>
      <c r="I225" s="10"/>
      <c r="J225" s="10"/>
      <c r="K225" s="10"/>
      <c r="L225" s="10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9"/>
      <c r="D226" s="10"/>
      <c r="E226" s="10"/>
      <c r="F226" s="10"/>
      <c r="G226" s="10"/>
      <c r="H226" s="10"/>
      <c r="I226" s="10"/>
      <c r="J226" s="10"/>
      <c r="K226" s="10"/>
      <c r="L226" s="10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9"/>
      <c r="D227" s="10"/>
      <c r="E227" s="10"/>
      <c r="F227" s="10"/>
      <c r="G227" s="10"/>
      <c r="H227" s="10"/>
      <c r="I227" s="10"/>
      <c r="J227" s="10"/>
      <c r="K227" s="10"/>
      <c r="L227" s="10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9"/>
      <c r="D228" s="10"/>
      <c r="E228" s="10"/>
      <c r="F228" s="10"/>
      <c r="G228" s="10"/>
      <c r="H228" s="10"/>
      <c r="I228" s="10"/>
      <c r="J228" s="10"/>
      <c r="K228" s="10"/>
      <c r="L228" s="10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9"/>
      <c r="D229" s="10"/>
      <c r="E229" s="10"/>
      <c r="F229" s="10"/>
      <c r="G229" s="10"/>
      <c r="H229" s="10"/>
      <c r="I229" s="10"/>
      <c r="J229" s="10"/>
      <c r="K229" s="10"/>
      <c r="L229" s="10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9"/>
      <c r="D230" s="10"/>
      <c r="E230" s="10"/>
      <c r="F230" s="10"/>
      <c r="G230" s="10"/>
      <c r="H230" s="10"/>
      <c r="I230" s="10"/>
      <c r="J230" s="10"/>
      <c r="K230" s="10"/>
      <c r="L230" s="10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9"/>
      <c r="D231" s="10"/>
      <c r="E231" s="10"/>
      <c r="F231" s="10"/>
      <c r="G231" s="10"/>
      <c r="H231" s="10"/>
      <c r="I231" s="10"/>
      <c r="J231" s="10"/>
      <c r="K231" s="10"/>
      <c r="L231" s="10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9"/>
      <c r="D232" s="10"/>
      <c r="E232" s="10"/>
      <c r="F232" s="10"/>
      <c r="G232" s="10"/>
      <c r="H232" s="10"/>
      <c r="I232" s="10"/>
      <c r="J232" s="10"/>
      <c r="K232" s="10"/>
      <c r="L232" s="10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9"/>
      <c r="D233" s="10"/>
      <c r="E233" s="10"/>
      <c r="F233" s="10"/>
      <c r="G233" s="10"/>
      <c r="H233" s="10"/>
      <c r="I233" s="10"/>
      <c r="J233" s="10"/>
      <c r="K233" s="10"/>
      <c r="L233" s="10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9"/>
      <c r="D234" s="10"/>
      <c r="E234" s="10"/>
      <c r="F234" s="10"/>
      <c r="G234" s="10"/>
      <c r="H234" s="10"/>
      <c r="I234" s="10"/>
      <c r="J234" s="10"/>
      <c r="K234" s="10"/>
      <c r="L234" s="10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9"/>
      <c r="D235" s="10"/>
      <c r="E235" s="10"/>
      <c r="F235" s="10"/>
      <c r="G235" s="10"/>
      <c r="H235" s="10"/>
      <c r="I235" s="10"/>
      <c r="J235" s="10"/>
      <c r="K235" s="10"/>
      <c r="L235" s="10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9"/>
      <c r="D236" s="10"/>
      <c r="E236" s="10"/>
      <c r="F236" s="10"/>
      <c r="G236" s="10"/>
      <c r="H236" s="10"/>
      <c r="I236" s="10"/>
      <c r="J236" s="10"/>
      <c r="K236" s="10"/>
      <c r="L236" s="10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9"/>
      <c r="D237" s="10"/>
      <c r="E237" s="10"/>
      <c r="F237" s="10"/>
      <c r="G237" s="10"/>
      <c r="H237" s="10"/>
      <c r="I237" s="10"/>
      <c r="J237" s="10"/>
      <c r="K237" s="10"/>
      <c r="L237" s="10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9"/>
      <c r="D238" s="10"/>
      <c r="E238" s="10"/>
      <c r="F238" s="10"/>
      <c r="G238" s="10"/>
      <c r="H238" s="10"/>
      <c r="I238" s="10"/>
      <c r="J238" s="10"/>
      <c r="K238" s="10"/>
      <c r="L238" s="10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9"/>
      <c r="D239" s="10"/>
      <c r="E239" s="10"/>
      <c r="F239" s="10"/>
      <c r="G239" s="10"/>
      <c r="H239" s="10"/>
      <c r="I239" s="10"/>
      <c r="J239" s="10"/>
      <c r="K239" s="10"/>
      <c r="L239" s="10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9"/>
      <c r="D240" s="10"/>
      <c r="E240" s="10"/>
      <c r="F240" s="10"/>
      <c r="G240" s="10"/>
      <c r="H240" s="10"/>
      <c r="I240" s="10"/>
      <c r="J240" s="10"/>
      <c r="K240" s="10"/>
      <c r="L240" s="10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9"/>
      <c r="D241" s="10"/>
      <c r="E241" s="10"/>
      <c r="F241" s="10"/>
      <c r="G241" s="10"/>
      <c r="H241" s="10"/>
      <c r="I241" s="10"/>
      <c r="J241" s="10"/>
      <c r="K241" s="10"/>
      <c r="L241" s="10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9"/>
      <c r="D242" s="10"/>
      <c r="E242" s="10"/>
      <c r="F242" s="10"/>
      <c r="G242" s="10"/>
      <c r="H242" s="10"/>
      <c r="I242" s="10"/>
      <c r="J242" s="10"/>
      <c r="K242" s="10"/>
      <c r="L242" s="10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9"/>
      <c r="D243" s="10"/>
      <c r="E243" s="10"/>
      <c r="F243" s="10"/>
      <c r="G243" s="10"/>
      <c r="H243" s="10"/>
      <c r="I243" s="10"/>
      <c r="J243" s="10"/>
      <c r="K243" s="10"/>
      <c r="L243" s="10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9"/>
      <c r="D244" s="10"/>
      <c r="E244" s="10"/>
      <c r="F244" s="10"/>
      <c r="G244" s="10"/>
      <c r="H244" s="10"/>
      <c r="I244" s="10"/>
      <c r="J244" s="10"/>
      <c r="K244" s="10"/>
      <c r="L244" s="10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9"/>
      <c r="D245" s="10"/>
      <c r="E245" s="10"/>
      <c r="F245" s="10"/>
      <c r="G245" s="10"/>
      <c r="H245" s="10"/>
      <c r="I245" s="10"/>
      <c r="J245" s="10"/>
      <c r="K245" s="10"/>
      <c r="L245" s="10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9"/>
      <c r="D246" s="10"/>
      <c r="E246" s="10"/>
      <c r="F246" s="10"/>
      <c r="G246" s="10"/>
      <c r="H246" s="10"/>
      <c r="I246" s="10"/>
      <c r="J246" s="10"/>
      <c r="K246" s="10"/>
      <c r="L246" s="10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9"/>
      <c r="D247" s="10"/>
      <c r="E247" s="10"/>
      <c r="F247" s="10"/>
      <c r="G247" s="10"/>
      <c r="H247" s="10"/>
      <c r="I247" s="10"/>
      <c r="J247" s="10"/>
      <c r="K247" s="10"/>
      <c r="L247" s="10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9"/>
      <c r="D248" s="10"/>
      <c r="E248" s="10"/>
      <c r="F248" s="10"/>
      <c r="G248" s="10"/>
      <c r="H248" s="10"/>
      <c r="I248" s="10"/>
      <c r="J248" s="10"/>
      <c r="K248" s="10"/>
      <c r="L248" s="10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9"/>
      <c r="D249" s="10"/>
      <c r="E249" s="10"/>
      <c r="F249" s="10"/>
      <c r="G249" s="10"/>
      <c r="H249" s="10"/>
      <c r="I249" s="10"/>
      <c r="J249" s="10"/>
      <c r="K249" s="10"/>
      <c r="L249" s="10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9"/>
      <c r="D250" s="10"/>
      <c r="E250" s="10"/>
      <c r="F250" s="10"/>
      <c r="G250" s="10"/>
      <c r="H250" s="10"/>
      <c r="I250" s="10"/>
      <c r="J250" s="10"/>
      <c r="K250" s="10"/>
      <c r="L250" s="10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9"/>
      <c r="D251" s="10"/>
      <c r="E251" s="10"/>
      <c r="F251" s="10"/>
      <c r="G251" s="10"/>
      <c r="H251" s="10"/>
      <c r="I251" s="10"/>
      <c r="J251" s="10"/>
      <c r="K251" s="10"/>
      <c r="L251" s="10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9"/>
      <c r="D252" s="10"/>
      <c r="E252" s="10"/>
      <c r="F252" s="10"/>
      <c r="G252" s="10"/>
      <c r="H252" s="10"/>
      <c r="I252" s="10"/>
      <c r="J252" s="10"/>
      <c r="K252" s="10"/>
      <c r="L252" s="10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9"/>
      <c r="D253" s="10"/>
      <c r="E253" s="10"/>
      <c r="F253" s="10"/>
      <c r="G253" s="10"/>
      <c r="H253" s="10"/>
      <c r="I253" s="10"/>
      <c r="J253" s="10"/>
      <c r="K253" s="10"/>
      <c r="L253" s="10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9"/>
      <c r="D254" s="10"/>
      <c r="E254" s="10"/>
      <c r="F254" s="10"/>
      <c r="G254" s="10"/>
      <c r="H254" s="10"/>
      <c r="I254" s="10"/>
      <c r="J254" s="10"/>
      <c r="K254" s="10"/>
      <c r="L254" s="10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9"/>
      <c r="D255" s="10"/>
      <c r="E255" s="10"/>
      <c r="F255" s="10"/>
      <c r="G255" s="10"/>
      <c r="H255" s="10"/>
      <c r="I255" s="10"/>
      <c r="J255" s="10"/>
      <c r="K255" s="10"/>
      <c r="L255" s="10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9"/>
      <c r="D256" s="10"/>
      <c r="E256" s="10"/>
      <c r="F256" s="10"/>
      <c r="G256" s="10"/>
      <c r="H256" s="10"/>
      <c r="I256" s="10"/>
      <c r="J256" s="10"/>
      <c r="K256" s="10"/>
      <c r="L256" s="10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9"/>
      <c r="D257" s="10"/>
      <c r="E257" s="10"/>
      <c r="F257" s="10"/>
      <c r="G257" s="10"/>
      <c r="H257" s="10"/>
      <c r="I257" s="10"/>
      <c r="J257" s="10"/>
      <c r="K257" s="10"/>
      <c r="L257" s="10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9"/>
      <c r="D258" s="10"/>
      <c r="E258" s="10"/>
      <c r="F258" s="10"/>
      <c r="G258" s="10"/>
      <c r="H258" s="10"/>
      <c r="I258" s="10"/>
      <c r="J258" s="10"/>
      <c r="K258" s="10"/>
      <c r="L258" s="10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9"/>
      <c r="D259" s="10"/>
      <c r="E259" s="10"/>
      <c r="F259" s="10"/>
      <c r="G259" s="10"/>
      <c r="H259" s="10"/>
      <c r="I259" s="10"/>
      <c r="J259" s="10"/>
      <c r="K259" s="10"/>
      <c r="L259" s="10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9"/>
      <c r="D260" s="10"/>
      <c r="E260" s="10"/>
      <c r="F260" s="10"/>
      <c r="G260" s="10"/>
      <c r="H260" s="10"/>
      <c r="I260" s="10"/>
      <c r="J260" s="10"/>
      <c r="K260" s="10"/>
      <c r="L260" s="10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9"/>
      <c r="D261" s="10"/>
      <c r="E261" s="10"/>
      <c r="F261" s="10"/>
      <c r="G261" s="10"/>
      <c r="H261" s="10"/>
      <c r="I261" s="10"/>
      <c r="J261" s="10"/>
      <c r="K261" s="10"/>
      <c r="L261" s="10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9"/>
      <c r="D262" s="10"/>
      <c r="E262" s="10"/>
      <c r="F262" s="10"/>
      <c r="G262" s="10"/>
      <c r="H262" s="10"/>
      <c r="I262" s="10"/>
      <c r="J262" s="10"/>
      <c r="K262" s="10"/>
      <c r="L262" s="10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9"/>
      <c r="D263" s="10"/>
      <c r="E263" s="10"/>
      <c r="F263" s="10"/>
      <c r="G263" s="10"/>
      <c r="H263" s="10"/>
      <c r="I263" s="10"/>
      <c r="J263" s="10"/>
      <c r="K263" s="10"/>
      <c r="L263" s="10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9"/>
      <c r="D264" s="10"/>
      <c r="E264" s="10"/>
      <c r="F264" s="10"/>
      <c r="G264" s="10"/>
      <c r="H264" s="10"/>
      <c r="I264" s="10"/>
      <c r="J264" s="10"/>
      <c r="K264" s="10"/>
      <c r="L264" s="10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9"/>
      <c r="D265" s="10"/>
      <c r="E265" s="10"/>
      <c r="F265" s="10"/>
      <c r="G265" s="10"/>
      <c r="H265" s="10"/>
      <c r="I265" s="10"/>
      <c r="J265" s="10"/>
      <c r="K265" s="10"/>
      <c r="L265" s="10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9"/>
      <c r="D266" s="10"/>
      <c r="E266" s="10"/>
      <c r="F266" s="10"/>
      <c r="G266" s="10"/>
      <c r="H266" s="10"/>
      <c r="I266" s="10"/>
      <c r="J266" s="10"/>
      <c r="K266" s="10"/>
      <c r="L266" s="10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9"/>
      <c r="D267" s="10"/>
      <c r="E267" s="10"/>
      <c r="F267" s="10"/>
      <c r="G267" s="10"/>
      <c r="H267" s="10"/>
      <c r="I267" s="10"/>
      <c r="J267" s="10"/>
      <c r="K267" s="10"/>
      <c r="L267" s="10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9"/>
      <c r="D268" s="10"/>
      <c r="E268" s="10"/>
      <c r="F268" s="10"/>
      <c r="G268" s="10"/>
      <c r="H268" s="10"/>
      <c r="I268" s="10"/>
      <c r="J268" s="10"/>
      <c r="K268" s="10"/>
      <c r="L268" s="10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9"/>
      <c r="D269" s="10"/>
      <c r="E269" s="10"/>
      <c r="F269" s="10"/>
      <c r="G269" s="10"/>
      <c r="H269" s="10"/>
      <c r="I269" s="10"/>
      <c r="J269" s="10"/>
      <c r="K269" s="10"/>
      <c r="L269" s="10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9"/>
      <c r="D270" s="10"/>
      <c r="E270" s="10"/>
      <c r="F270" s="10"/>
      <c r="G270" s="10"/>
      <c r="H270" s="10"/>
      <c r="I270" s="10"/>
      <c r="J270" s="10"/>
      <c r="K270" s="10"/>
      <c r="L270" s="10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9"/>
      <c r="D271" s="10"/>
      <c r="E271" s="10"/>
      <c r="F271" s="10"/>
      <c r="G271" s="10"/>
      <c r="H271" s="10"/>
      <c r="I271" s="10"/>
      <c r="J271" s="10"/>
      <c r="K271" s="10"/>
      <c r="L271" s="10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9"/>
      <c r="D272" s="10"/>
      <c r="E272" s="10"/>
      <c r="F272" s="10"/>
      <c r="G272" s="10"/>
      <c r="H272" s="10"/>
      <c r="I272" s="10"/>
      <c r="J272" s="10"/>
      <c r="K272" s="10"/>
      <c r="L272" s="10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9"/>
      <c r="D273" s="10"/>
      <c r="E273" s="10"/>
      <c r="F273" s="10"/>
      <c r="G273" s="10"/>
      <c r="H273" s="10"/>
      <c r="I273" s="10"/>
      <c r="J273" s="10"/>
      <c r="K273" s="10"/>
      <c r="L273" s="10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9"/>
      <c r="D274" s="10"/>
      <c r="E274" s="10"/>
      <c r="F274" s="10"/>
      <c r="G274" s="10"/>
      <c r="H274" s="10"/>
      <c r="I274" s="10"/>
      <c r="J274" s="10"/>
      <c r="K274" s="10"/>
      <c r="L274" s="10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9"/>
      <c r="D275" s="10"/>
      <c r="E275" s="10"/>
      <c r="F275" s="10"/>
      <c r="G275" s="10"/>
      <c r="H275" s="10"/>
      <c r="I275" s="10"/>
      <c r="J275" s="10"/>
      <c r="K275" s="10"/>
      <c r="L275" s="10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9"/>
      <c r="D276" s="10"/>
      <c r="E276" s="10"/>
      <c r="F276" s="10"/>
      <c r="G276" s="10"/>
      <c r="H276" s="10"/>
      <c r="I276" s="10"/>
      <c r="J276" s="10"/>
      <c r="K276" s="10"/>
      <c r="L276" s="10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9"/>
      <c r="D277" s="10"/>
      <c r="E277" s="10"/>
      <c r="F277" s="10"/>
      <c r="G277" s="10"/>
      <c r="H277" s="10"/>
      <c r="I277" s="10"/>
      <c r="J277" s="10"/>
      <c r="K277" s="10"/>
      <c r="L277" s="10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9"/>
      <c r="D278" s="10"/>
      <c r="E278" s="10"/>
      <c r="F278" s="10"/>
      <c r="G278" s="10"/>
      <c r="H278" s="10"/>
      <c r="I278" s="10"/>
      <c r="J278" s="10"/>
      <c r="K278" s="10"/>
      <c r="L278" s="10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9"/>
      <c r="D279" s="10"/>
      <c r="E279" s="10"/>
      <c r="F279" s="10"/>
      <c r="G279" s="10"/>
      <c r="H279" s="10"/>
      <c r="I279" s="10"/>
      <c r="J279" s="10"/>
      <c r="K279" s="10"/>
      <c r="L279" s="10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9"/>
      <c r="D280" s="10"/>
      <c r="E280" s="10"/>
      <c r="F280" s="10"/>
      <c r="G280" s="10"/>
      <c r="H280" s="10"/>
      <c r="I280" s="10"/>
      <c r="J280" s="10"/>
      <c r="K280" s="10"/>
      <c r="L280" s="10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9"/>
      <c r="D281" s="10"/>
      <c r="E281" s="10"/>
      <c r="F281" s="10"/>
      <c r="G281" s="10"/>
      <c r="H281" s="10"/>
      <c r="I281" s="10"/>
      <c r="J281" s="10"/>
      <c r="K281" s="10"/>
      <c r="L281" s="10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9"/>
      <c r="D282" s="10"/>
      <c r="E282" s="10"/>
      <c r="F282" s="10"/>
      <c r="G282" s="10"/>
      <c r="H282" s="10"/>
      <c r="I282" s="10"/>
      <c r="J282" s="10"/>
      <c r="K282" s="10"/>
      <c r="L282" s="10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9"/>
      <c r="D283" s="10"/>
      <c r="E283" s="10"/>
      <c r="F283" s="10"/>
      <c r="G283" s="10"/>
      <c r="H283" s="10"/>
      <c r="I283" s="10"/>
      <c r="J283" s="10"/>
      <c r="K283" s="10"/>
      <c r="L283" s="10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9"/>
      <c r="D284" s="10"/>
      <c r="E284" s="10"/>
      <c r="F284" s="10"/>
      <c r="G284" s="10"/>
      <c r="H284" s="10"/>
      <c r="I284" s="10"/>
      <c r="J284" s="10"/>
      <c r="K284" s="10"/>
      <c r="L284" s="10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9"/>
      <c r="D285" s="10"/>
      <c r="E285" s="10"/>
      <c r="F285" s="10"/>
      <c r="G285" s="10"/>
      <c r="H285" s="10"/>
      <c r="I285" s="10"/>
      <c r="J285" s="10"/>
      <c r="K285" s="10"/>
      <c r="L285" s="10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9"/>
      <c r="D286" s="10"/>
      <c r="E286" s="10"/>
      <c r="F286" s="10"/>
      <c r="G286" s="10"/>
      <c r="H286" s="10"/>
      <c r="I286" s="10"/>
      <c r="J286" s="10"/>
      <c r="K286" s="10"/>
      <c r="L286" s="10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9"/>
      <c r="D287" s="10"/>
      <c r="E287" s="10"/>
      <c r="F287" s="10"/>
      <c r="G287" s="10"/>
      <c r="H287" s="10"/>
      <c r="I287" s="10"/>
      <c r="J287" s="10"/>
      <c r="K287" s="10"/>
      <c r="L287" s="10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9"/>
      <c r="D288" s="10"/>
      <c r="E288" s="10"/>
      <c r="F288" s="10"/>
      <c r="G288" s="10"/>
      <c r="H288" s="10"/>
      <c r="I288" s="10"/>
      <c r="J288" s="10"/>
      <c r="K288" s="10"/>
      <c r="L288" s="10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9"/>
      <c r="D289" s="10"/>
      <c r="E289" s="10"/>
      <c r="F289" s="10"/>
      <c r="G289" s="10"/>
      <c r="H289" s="10"/>
      <c r="I289" s="10"/>
      <c r="J289" s="10"/>
      <c r="K289" s="10"/>
      <c r="L289" s="10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9"/>
      <c r="D290" s="10"/>
      <c r="E290" s="10"/>
      <c r="F290" s="10"/>
      <c r="G290" s="10"/>
      <c r="H290" s="10"/>
      <c r="I290" s="10"/>
      <c r="J290" s="10"/>
      <c r="K290" s="10"/>
      <c r="L290" s="10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9"/>
      <c r="D291" s="10"/>
      <c r="E291" s="10"/>
      <c r="F291" s="10"/>
      <c r="G291" s="10"/>
      <c r="H291" s="10"/>
      <c r="I291" s="10"/>
      <c r="J291" s="10"/>
      <c r="K291" s="10"/>
      <c r="L291" s="10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9"/>
      <c r="D292" s="10"/>
      <c r="E292" s="10"/>
      <c r="F292" s="10"/>
      <c r="G292" s="10"/>
      <c r="H292" s="10"/>
      <c r="I292" s="10"/>
      <c r="J292" s="10"/>
      <c r="K292" s="10"/>
      <c r="L292" s="10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9"/>
      <c r="D293" s="10"/>
      <c r="E293" s="10"/>
      <c r="F293" s="10"/>
      <c r="G293" s="10"/>
      <c r="H293" s="10"/>
      <c r="I293" s="10"/>
      <c r="J293" s="10"/>
      <c r="K293" s="10"/>
      <c r="L293" s="10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9"/>
      <c r="D294" s="10"/>
      <c r="E294" s="10"/>
      <c r="F294" s="10"/>
      <c r="G294" s="10"/>
      <c r="H294" s="10"/>
      <c r="I294" s="10"/>
      <c r="J294" s="10"/>
      <c r="K294" s="10"/>
      <c r="L294" s="10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9"/>
      <c r="D295" s="10"/>
      <c r="E295" s="10"/>
      <c r="F295" s="10"/>
      <c r="G295" s="10"/>
      <c r="H295" s="10"/>
      <c r="I295" s="10"/>
      <c r="J295" s="10"/>
      <c r="K295" s="10"/>
      <c r="L295" s="10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9"/>
      <c r="D296" s="10"/>
      <c r="E296" s="10"/>
      <c r="F296" s="10"/>
      <c r="G296" s="10"/>
      <c r="H296" s="10"/>
      <c r="I296" s="10"/>
      <c r="J296" s="10"/>
      <c r="K296" s="10"/>
      <c r="L296" s="10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9"/>
      <c r="D297" s="10"/>
      <c r="E297" s="10"/>
      <c r="F297" s="10"/>
      <c r="G297" s="10"/>
      <c r="H297" s="10"/>
      <c r="I297" s="10"/>
      <c r="J297" s="10"/>
      <c r="K297" s="10"/>
      <c r="L297" s="10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9"/>
      <c r="D298" s="10"/>
      <c r="E298" s="10"/>
      <c r="F298" s="10"/>
      <c r="G298" s="10"/>
      <c r="H298" s="10"/>
      <c r="I298" s="10"/>
      <c r="J298" s="10"/>
      <c r="K298" s="10"/>
      <c r="L298" s="10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9"/>
      <c r="D299" s="10"/>
      <c r="E299" s="10"/>
      <c r="F299" s="10"/>
      <c r="G299" s="10"/>
      <c r="H299" s="10"/>
      <c r="I299" s="10"/>
      <c r="J299" s="10"/>
      <c r="K299" s="10"/>
      <c r="L299" s="10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9"/>
      <c r="D300" s="10"/>
      <c r="E300" s="10"/>
      <c r="F300" s="10"/>
      <c r="G300" s="10"/>
      <c r="H300" s="10"/>
      <c r="I300" s="10"/>
      <c r="J300" s="10"/>
      <c r="K300" s="10"/>
      <c r="L300" s="10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9"/>
      <c r="D301" s="10"/>
      <c r="E301" s="10"/>
      <c r="F301" s="10"/>
      <c r="G301" s="10"/>
      <c r="H301" s="10"/>
      <c r="I301" s="10"/>
      <c r="J301" s="10"/>
      <c r="K301" s="10"/>
      <c r="L301" s="10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9"/>
      <c r="D302" s="10"/>
      <c r="E302" s="10"/>
      <c r="F302" s="10"/>
      <c r="G302" s="10"/>
      <c r="H302" s="10"/>
      <c r="I302" s="10"/>
      <c r="J302" s="10"/>
      <c r="K302" s="10"/>
      <c r="L302" s="10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9"/>
      <c r="D303" s="10"/>
      <c r="E303" s="10"/>
      <c r="F303" s="10"/>
      <c r="G303" s="10"/>
      <c r="H303" s="10"/>
      <c r="I303" s="10"/>
      <c r="J303" s="10"/>
      <c r="K303" s="10"/>
      <c r="L303" s="10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9"/>
      <c r="D304" s="10"/>
      <c r="E304" s="10"/>
      <c r="F304" s="10"/>
      <c r="G304" s="10"/>
      <c r="H304" s="10"/>
      <c r="I304" s="10"/>
      <c r="J304" s="10"/>
      <c r="K304" s="10"/>
      <c r="L304" s="10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9"/>
      <c r="D305" s="10"/>
      <c r="E305" s="10"/>
      <c r="F305" s="10"/>
      <c r="G305" s="10"/>
      <c r="H305" s="10"/>
      <c r="I305" s="10"/>
      <c r="J305" s="10"/>
      <c r="K305" s="10"/>
      <c r="L305" s="10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9"/>
      <c r="D306" s="10"/>
      <c r="E306" s="10"/>
      <c r="F306" s="10"/>
      <c r="G306" s="10"/>
      <c r="H306" s="10"/>
      <c r="I306" s="10"/>
      <c r="J306" s="10"/>
      <c r="K306" s="10"/>
      <c r="L306" s="10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9"/>
      <c r="D307" s="10"/>
      <c r="E307" s="10"/>
      <c r="F307" s="10"/>
      <c r="G307" s="10"/>
      <c r="H307" s="10"/>
      <c r="I307" s="10"/>
      <c r="J307" s="10"/>
      <c r="K307" s="10"/>
      <c r="L307" s="10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9"/>
      <c r="D308" s="10"/>
      <c r="E308" s="10"/>
      <c r="F308" s="10"/>
      <c r="G308" s="10"/>
      <c r="H308" s="10"/>
      <c r="I308" s="10"/>
      <c r="J308" s="10"/>
      <c r="K308" s="10"/>
      <c r="L308" s="10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9"/>
      <c r="D309" s="10"/>
      <c r="E309" s="10"/>
      <c r="F309" s="10"/>
      <c r="G309" s="10"/>
      <c r="H309" s="10"/>
      <c r="I309" s="10"/>
      <c r="J309" s="10"/>
      <c r="K309" s="10"/>
      <c r="L309" s="10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9"/>
      <c r="D310" s="10"/>
      <c r="E310" s="10"/>
      <c r="F310" s="10"/>
      <c r="G310" s="10"/>
      <c r="H310" s="10"/>
      <c r="I310" s="10"/>
      <c r="J310" s="10"/>
      <c r="K310" s="10"/>
      <c r="L310" s="10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9"/>
      <c r="D311" s="10"/>
      <c r="E311" s="10"/>
      <c r="F311" s="10"/>
      <c r="G311" s="10"/>
      <c r="H311" s="10"/>
      <c r="I311" s="10"/>
      <c r="J311" s="10"/>
      <c r="K311" s="10"/>
      <c r="L311" s="10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9"/>
      <c r="D312" s="10"/>
      <c r="E312" s="10"/>
      <c r="F312" s="10"/>
      <c r="G312" s="10"/>
      <c r="H312" s="10"/>
      <c r="I312" s="10"/>
      <c r="J312" s="10"/>
      <c r="K312" s="10"/>
      <c r="L312" s="10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9"/>
      <c r="D313" s="10"/>
      <c r="E313" s="10"/>
      <c r="F313" s="10"/>
      <c r="G313" s="10"/>
      <c r="H313" s="10"/>
      <c r="I313" s="10"/>
      <c r="J313" s="10"/>
      <c r="K313" s="10"/>
      <c r="L313" s="10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9"/>
      <c r="D314" s="10"/>
      <c r="E314" s="10"/>
      <c r="F314" s="10"/>
      <c r="G314" s="10"/>
      <c r="H314" s="10"/>
      <c r="I314" s="10"/>
      <c r="J314" s="10"/>
      <c r="K314" s="10"/>
      <c r="L314" s="10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9"/>
      <c r="D315" s="10"/>
      <c r="E315" s="10"/>
      <c r="F315" s="10"/>
      <c r="G315" s="10"/>
      <c r="H315" s="10"/>
      <c r="I315" s="10"/>
      <c r="J315" s="10"/>
      <c r="K315" s="10"/>
      <c r="L315" s="10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9"/>
      <c r="D316" s="10"/>
      <c r="E316" s="10"/>
      <c r="F316" s="10"/>
      <c r="G316" s="10"/>
      <c r="H316" s="10"/>
      <c r="I316" s="10"/>
      <c r="J316" s="10"/>
      <c r="K316" s="10"/>
      <c r="L316" s="10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9"/>
      <c r="D317" s="10"/>
      <c r="E317" s="10"/>
      <c r="F317" s="10"/>
      <c r="G317" s="10"/>
      <c r="H317" s="10"/>
      <c r="I317" s="10"/>
      <c r="J317" s="10"/>
      <c r="K317" s="10"/>
      <c r="L317" s="10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9"/>
      <c r="D318" s="10"/>
      <c r="E318" s="10"/>
      <c r="F318" s="10"/>
      <c r="G318" s="10"/>
      <c r="H318" s="10"/>
      <c r="I318" s="10"/>
      <c r="J318" s="10"/>
      <c r="K318" s="10"/>
      <c r="L318" s="10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9"/>
      <c r="D319" s="10"/>
      <c r="E319" s="10"/>
      <c r="F319" s="10"/>
      <c r="G319" s="10"/>
      <c r="H319" s="10"/>
      <c r="I319" s="10"/>
      <c r="J319" s="10"/>
      <c r="K319" s="10"/>
      <c r="L319" s="10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9"/>
      <c r="D320" s="10"/>
      <c r="E320" s="10"/>
      <c r="F320" s="10"/>
      <c r="G320" s="10"/>
      <c r="H320" s="10"/>
      <c r="I320" s="10"/>
      <c r="J320" s="10"/>
      <c r="K320" s="10"/>
      <c r="L320" s="10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9"/>
      <c r="D321" s="10"/>
      <c r="E321" s="10"/>
      <c r="F321" s="10"/>
      <c r="G321" s="10"/>
      <c r="H321" s="10"/>
      <c r="I321" s="10"/>
      <c r="J321" s="10"/>
      <c r="K321" s="10"/>
      <c r="L321" s="10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9"/>
      <c r="D322" s="10"/>
      <c r="E322" s="10"/>
      <c r="F322" s="10"/>
      <c r="G322" s="10"/>
      <c r="H322" s="10"/>
      <c r="I322" s="10"/>
      <c r="J322" s="10"/>
      <c r="K322" s="10"/>
      <c r="L322" s="10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9"/>
      <c r="D323" s="10"/>
      <c r="E323" s="10"/>
      <c r="F323" s="10"/>
      <c r="G323" s="10"/>
      <c r="H323" s="10"/>
      <c r="I323" s="10"/>
      <c r="J323" s="10"/>
      <c r="K323" s="10"/>
      <c r="L323" s="10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9"/>
      <c r="D324" s="10"/>
      <c r="E324" s="10"/>
      <c r="F324" s="10"/>
      <c r="G324" s="10"/>
      <c r="H324" s="10"/>
      <c r="I324" s="10"/>
      <c r="J324" s="10"/>
      <c r="K324" s="10"/>
      <c r="L324" s="10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9"/>
      <c r="D325" s="10"/>
      <c r="E325" s="10"/>
      <c r="F325" s="10"/>
      <c r="G325" s="10"/>
      <c r="H325" s="10"/>
      <c r="I325" s="10"/>
      <c r="J325" s="10"/>
      <c r="K325" s="10"/>
      <c r="L325" s="10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9"/>
      <c r="D326" s="10"/>
      <c r="E326" s="10"/>
      <c r="F326" s="10"/>
      <c r="G326" s="10"/>
      <c r="H326" s="10"/>
      <c r="I326" s="10"/>
      <c r="J326" s="10"/>
      <c r="K326" s="10"/>
      <c r="L326" s="10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9"/>
      <c r="D327" s="10"/>
      <c r="E327" s="10"/>
      <c r="F327" s="10"/>
      <c r="G327" s="10"/>
      <c r="H327" s="10"/>
      <c r="I327" s="10"/>
      <c r="J327" s="10"/>
      <c r="K327" s="10"/>
      <c r="L327" s="10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9"/>
      <c r="D328" s="10"/>
      <c r="E328" s="10"/>
      <c r="F328" s="10"/>
      <c r="G328" s="10"/>
      <c r="H328" s="10"/>
      <c r="I328" s="10"/>
      <c r="J328" s="10"/>
      <c r="K328" s="10"/>
      <c r="L328" s="10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9"/>
      <c r="D329" s="10"/>
      <c r="E329" s="10"/>
      <c r="F329" s="10"/>
      <c r="G329" s="10"/>
      <c r="H329" s="10"/>
      <c r="I329" s="10"/>
      <c r="J329" s="10"/>
      <c r="K329" s="10"/>
      <c r="L329" s="10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9"/>
      <c r="D330" s="10"/>
      <c r="E330" s="10"/>
      <c r="F330" s="10"/>
      <c r="G330" s="10"/>
      <c r="H330" s="10"/>
      <c r="I330" s="10"/>
      <c r="J330" s="10"/>
      <c r="K330" s="10"/>
      <c r="L330" s="10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9"/>
      <c r="D331" s="10"/>
      <c r="E331" s="10"/>
      <c r="F331" s="10"/>
      <c r="G331" s="10"/>
      <c r="H331" s="10"/>
      <c r="I331" s="10"/>
      <c r="J331" s="10"/>
      <c r="K331" s="10"/>
      <c r="L331" s="10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9"/>
      <c r="D332" s="10"/>
      <c r="E332" s="10"/>
      <c r="F332" s="10"/>
      <c r="G332" s="10"/>
      <c r="H332" s="10"/>
      <c r="I332" s="10"/>
      <c r="J332" s="10"/>
      <c r="K332" s="10"/>
      <c r="L332" s="10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9"/>
      <c r="D333" s="10"/>
      <c r="E333" s="10"/>
      <c r="F333" s="10"/>
      <c r="G333" s="10"/>
      <c r="H333" s="10"/>
      <c r="I333" s="10"/>
      <c r="J333" s="10"/>
      <c r="K333" s="10"/>
      <c r="L333" s="10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9"/>
      <c r="D334" s="10"/>
      <c r="E334" s="10"/>
      <c r="F334" s="10"/>
      <c r="G334" s="10"/>
      <c r="H334" s="10"/>
      <c r="I334" s="10"/>
      <c r="J334" s="10"/>
      <c r="K334" s="10"/>
      <c r="L334" s="10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9"/>
      <c r="D335" s="10"/>
      <c r="E335" s="10"/>
      <c r="F335" s="10"/>
      <c r="G335" s="10"/>
      <c r="H335" s="10"/>
      <c r="I335" s="10"/>
      <c r="J335" s="10"/>
      <c r="K335" s="10"/>
      <c r="L335" s="10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9"/>
      <c r="D336" s="10"/>
      <c r="E336" s="10"/>
      <c r="F336" s="10"/>
      <c r="G336" s="10"/>
      <c r="H336" s="10"/>
      <c r="I336" s="10"/>
      <c r="J336" s="10"/>
      <c r="K336" s="10"/>
      <c r="L336" s="10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9"/>
      <c r="D337" s="10"/>
      <c r="E337" s="10"/>
      <c r="F337" s="10"/>
      <c r="G337" s="10"/>
      <c r="H337" s="10"/>
      <c r="I337" s="10"/>
      <c r="J337" s="10"/>
      <c r="K337" s="10"/>
      <c r="L337" s="10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9"/>
      <c r="D338" s="10"/>
      <c r="E338" s="10"/>
      <c r="F338" s="10"/>
      <c r="G338" s="10"/>
      <c r="H338" s="10"/>
      <c r="I338" s="10"/>
      <c r="J338" s="10"/>
      <c r="K338" s="10"/>
      <c r="L338" s="10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9"/>
      <c r="D339" s="10"/>
      <c r="E339" s="10"/>
      <c r="F339" s="10"/>
      <c r="G339" s="10"/>
      <c r="H339" s="10"/>
      <c r="I339" s="10"/>
      <c r="J339" s="10"/>
      <c r="K339" s="10"/>
      <c r="L339" s="10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9"/>
      <c r="D340" s="10"/>
      <c r="E340" s="10"/>
      <c r="F340" s="10"/>
      <c r="G340" s="10"/>
      <c r="H340" s="10"/>
      <c r="I340" s="10"/>
      <c r="J340" s="10"/>
      <c r="K340" s="10"/>
      <c r="L340" s="10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9"/>
      <c r="D341" s="10"/>
      <c r="E341" s="10"/>
      <c r="F341" s="10"/>
      <c r="G341" s="10"/>
      <c r="H341" s="10"/>
      <c r="I341" s="10"/>
      <c r="J341" s="10"/>
      <c r="K341" s="10"/>
      <c r="L341" s="10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9"/>
      <c r="D342" s="10"/>
      <c r="E342" s="10"/>
      <c r="F342" s="10"/>
      <c r="G342" s="10"/>
      <c r="H342" s="10"/>
      <c r="I342" s="10"/>
      <c r="J342" s="10"/>
      <c r="K342" s="10"/>
      <c r="L342" s="10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9"/>
      <c r="D343" s="10"/>
      <c r="E343" s="10"/>
      <c r="F343" s="10"/>
      <c r="G343" s="10"/>
      <c r="H343" s="10"/>
      <c r="I343" s="10"/>
      <c r="J343" s="10"/>
      <c r="K343" s="10"/>
      <c r="L343" s="10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9"/>
      <c r="D344" s="10"/>
      <c r="E344" s="10"/>
      <c r="F344" s="10"/>
      <c r="G344" s="10"/>
      <c r="H344" s="10"/>
      <c r="I344" s="10"/>
      <c r="J344" s="10"/>
      <c r="K344" s="10"/>
      <c r="L344" s="10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9"/>
      <c r="D345" s="10"/>
      <c r="E345" s="10"/>
      <c r="F345" s="10"/>
      <c r="G345" s="10"/>
      <c r="H345" s="10"/>
      <c r="I345" s="10"/>
      <c r="J345" s="10"/>
      <c r="K345" s="10"/>
      <c r="L345" s="10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9"/>
      <c r="D346" s="10"/>
      <c r="E346" s="10"/>
      <c r="F346" s="10"/>
      <c r="G346" s="10"/>
      <c r="H346" s="10"/>
      <c r="I346" s="10"/>
      <c r="J346" s="10"/>
      <c r="K346" s="10"/>
      <c r="L346" s="10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9"/>
      <c r="D347" s="10"/>
      <c r="E347" s="10"/>
      <c r="F347" s="10"/>
      <c r="G347" s="10"/>
      <c r="H347" s="10"/>
      <c r="I347" s="10"/>
      <c r="J347" s="10"/>
      <c r="K347" s="10"/>
      <c r="L347" s="10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9"/>
      <c r="D348" s="10"/>
      <c r="E348" s="10"/>
      <c r="F348" s="10"/>
      <c r="G348" s="10"/>
      <c r="H348" s="10"/>
      <c r="I348" s="10"/>
      <c r="J348" s="10"/>
      <c r="K348" s="10"/>
      <c r="L348" s="10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9"/>
      <c r="D349" s="10"/>
      <c r="E349" s="10"/>
      <c r="F349" s="10"/>
      <c r="G349" s="10"/>
      <c r="H349" s="10"/>
      <c r="I349" s="10"/>
      <c r="J349" s="10"/>
      <c r="K349" s="10"/>
      <c r="L349" s="10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9"/>
      <c r="D350" s="10"/>
      <c r="E350" s="10"/>
      <c r="F350" s="10"/>
      <c r="G350" s="10"/>
      <c r="H350" s="10"/>
      <c r="I350" s="10"/>
      <c r="J350" s="10"/>
      <c r="K350" s="10"/>
      <c r="L350" s="10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9"/>
      <c r="D351" s="10"/>
      <c r="E351" s="10"/>
      <c r="F351" s="10"/>
      <c r="G351" s="10"/>
      <c r="H351" s="10"/>
      <c r="I351" s="10"/>
      <c r="J351" s="10"/>
      <c r="K351" s="10"/>
      <c r="L351" s="10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9"/>
      <c r="D352" s="10"/>
      <c r="E352" s="10"/>
      <c r="F352" s="10"/>
      <c r="G352" s="10"/>
      <c r="H352" s="10"/>
      <c r="I352" s="10"/>
      <c r="J352" s="10"/>
      <c r="K352" s="10"/>
      <c r="L352" s="10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9"/>
      <c r="D353" s="10"/>
      <c r="E353" s="10"/>
      <c r="F353" s="10"/>
      <c r="G353" s="10"/>
      <c r="H353" s="10"/>
      <c r="I353" s="10"/>
      <c r="J353" s="10"/>
      <c r="K353" s="10"/>
      <c r="L353" s="10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9"/>
      <c r="D354" s="10"/>
      <c r="E354" s="10"/>
      <c r="F354" s="10"/>
      <c r="G354" s="10"/>
      <c r="H354" s="10"/>
      <c r="I354" s="10"/>
      <c r="J354" s="10"/>
      <c r="K354" s="10"/>
      <c r="L354" s="10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9"/>
      <c r="D355" s="10"/>
      <c r="E355" s="10"/>
      <c r="F355" s="10"/>
      <c r="G355" s="10"/>
      <c r="H355" s="10"/>
      <c r="I355" s="10"/>
      <c r="J355" s="10"/>
      <c r="K355" s="10"/>
      <c r="L355" s="10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9"/>
      <c r="D356" s="10"/>
      <c r="E356" s="10"/>
      <c r="F356" s="10"/>
      <c r="G356" s="10"/>
      <c r="H356" s="10"/>
      <c r="I356" s="10"/>
      <c r="J356" s="10"/>
      <c r="K356" s="10"/>
      <c r="L356" s="10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9"/>
      <c r="D357" s="10"/>
      <c r="E357" s="10"/>
      <c r="F357" s="10"/>
      <c r="G357" s="10"/>
      <c r="H357" s="10"/>
      <c r="I357" s="10"/>
      <c r="J357" s="10"/>
      <c r="K357" s="10"/>
      <c r="L357" s="10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9"/>
      <c r="D358" s="10"/>
      <c r="E358" s="10"/>
      <c r="F358" s="10"/>
      <c r="G358" s="10"/>
      <c r="H358" s="10"/>
      <c r="I358" s="10"/>
      <c r="J358" s="10"/>
      <c r="K358" s="10"/>
      <c r="L358" s="10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9"/>
      <c r="D359" s="10"/>
      <c r="E359" s="10"/>
      <c r="F359" s="10"/>
      <c r="G359" s="10"/>
      <c r="H359" s="10"/>
      <c r="I359" s="10"/>
      <c r="J359" s="10"/>
      <c r="K359" s="10"/>
      <c r="L359" s="10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9"/>
      <c r="D360" s="10"/>
      <c r="E360" s="10"/>
      <c r="F360" s="10"/>
      <c r="G360" s="10"/>
      <c r="H360" s="10"/>
      <c r="I360" s="10"/>
      <c r="J360" s="10"/>
      <c r="K360" s="10"/>
      <c r="L360" s="10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9"/>
      <c r="D361" s="10"/>
      <c r="E361" s="10"/>
      <c r="F361" s="10"/>
      <c r="G361" s="10"/>
      <c r="H361" s="10"/>
      <c r="I361" s="10"/>
      <c r="J361" s="10"/>
      <c r="K361" s="10"/>
      <c r="L361" s="10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9"/>
      <c r="D362" s="10"/>
      <c r="E362" s="10"/>
      <c r="F362" s="10"/>
      <c r="G362" s="10"/>
      <c r="H362" s="10"/>
      <c r="I362" s="10"/>
      <c r="J362" s="10"/>
      <c r="K362" s="10"/>
      <c r="L362" s="10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9"/>
      <c r="D363" s="10"/>
      <c r="E363" s="10"/>
      <c r="F363" s="10"/>
      <c r="G363" s="10"/>
      <c r="H363" s="10"/>
      <c r="I363" s="10"/>
      <c r="J363" s="10"/>
      <c r="K363" s="10"/>
      <c r="L363" s="10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9"/>
      <c r="D364" s="10"/>
      <c r="E364" s="10"/>
      <c r="F364" s="10"/>
      <c r="G364" s="10"/>
      <c r="H364" s="10"/>
      <c r="I364" s="10"/>
      <c r="J364" s="10"/>
      <c r="K364" s="10"/>
      <c r="L364" s="10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9"/>
      <c r="D365" s="10"/>
      <c r="E365" s="10"/>
      <c r="F365" s="10"/>
      <c r="G365" s="10"/>
      <c r="H365" s="10"/>
      <c r="I365" s="10"/>
      <c r="J365" s="10"/>
      <c r="K365" s="10"/>
      <c r="L365" s="10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9"/>
      <c r="D366" s="10"/>
      <c r="E366" s="10"/>
      <c r="F366" s="10"/>
      <c r="G366" s="10"/>
      <c r="H366" s="10"/>
      <c r="I366" s="10"/>
      <c r="J366" s="10"/>
      <c r="K366" s="10"/>
      <c r="L366" s="10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9"/>
      <c r="D367" s="10"/>
      <c r="E367" s="10"/>
      <c r="F367" s="10"/>
      <c r="G367" s="10"/>
      <c r="H367" s="10"/>
      <c r="I367" s="10"/>
      <c r="J367" s="10"/>
      <c r="K367" s="10"/>
      <c r="L367" s="10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9"/>
      <c r="D368" s="10"/>
      <c r="E368" s="10"/>
      <c r="F368" s="10"/>
      <c r="G368" s="10"/>
      <c r="H368" s="10"/>
      <c r="I368" s="10"/>
      <c r="J368" s="10"/>
      <c r="K368" s="10"/>
      <c r="L368" s="10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9"/>
      <c r="D369" s="10"/>
      <c r="E369" s="10"/>
      <c r="F369" s="10"/>
      <c r="G369" s="10"/>
      <c r="H369" s="10"/>
      <c r="I369" s="10"/>
      <c r="J369" s="10"/>
      <c r="K369" s="10"/>
      <c r="L369" s="10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9"/>
      <c r="D370" s="10"/>
      <c r="E370" s="10"/>
      <c r="F370" s="10"/>
      <c r="G370" s="10"/>
      <c r="H370" s="10"/>
      <c r="I370" s="10"/>
      <c r="J370" s="10"/>
      <c r="K370" s="10"/>
      <c r="L370" s="10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9"/>
      <c r="D371" s="10"/>
      <c r="E371" s="10"/>
      <c r="F371" s="10"/>
      <c r="G371" s="10"/>
      <c r="H371" s="10"/>
      <c r="I371" s="10"/>
      <c r="J371" s="10"/>
      <c r="K371" s="10"/>
      <c r="L371" s="10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9"/>
      <c r="D372" s="10"/>
      <c r="E372" s="10"/>
      <c r="F372" s="10"/>
      <c r="G372" s="10"/>
      <c r="H372" s="10"/>
      <c r="I372" s="10"/>
      <c r="J372" s="10"/>
      <c r="K372" s="10"/>
      <c r="L372" s="10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9"/>
      <c r="D373" s="10"/>
      <c r="E373" s="10"/>
      <c r="F373" s="10"/>
      <c r="G373" s="10"/>
      <c r="H373" s="10"/>
      <c r="I373" s="10"/>
      <c r="J373" s="10"/>
      <c r="K373" s="10"/>
      <c r="L373" s="10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9"/>
      <c r="D374" s="10"/>
      <c r="E374" s="10"/>
      <c r="F374" s="10"/>
      <c r="G374" s="10"/>
      <c r="H374" s="10"/>
      <c r="I374" s="10"/>
      <c r="J374" s="10"/>
      <c r="K374" s="10"/>
      <c r="L374" s="10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9"/>
      <c r="D375" s="10"/>
      <c r="E375" s="10"/>
      <c r="F375" s="10"/>
      <c r="G375" s="10"/>
      <c r="H375" s="10"/>
      <c r="I375" s="10"/>
      <c r="J375" s="10"/>
      <c r="K375" s="10"/>
      <c r="L375" s="10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9"/>
      <c r="D376" s="10"/>
      <c r="E376" s="10"/>
      <c r="F376" s="10"/>
      <c r="G376" s="10"/>
      <c r="H376" s="10"/>
      <c r="I376" s="10"/>
      <c r="J376" s="10"/>
      <c r="K376" s="10"/>
      <c r="L376" s="10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9"/>
      <c r="D377" s="10"/>
      <c r="E377" s="10"/>
      <c r="F377" s="10"/>
      <c r="G377" s="10"/>
      <c r="H377" s="10"/>
      <c r="I377" s="10"/>
      <c r="J377" s="10"/>
      <c r="K377" s="10"/>
      <c r="L377" s="10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9"/>
      <c r="D378" s="10"/>
      <c r="E378" s="10"/>
      <c r="F378" s="10"/>
      <c r="G378" s="10"/>
      <c r="H378" s="10"/>
      <c r="I378" s="10"/>
      <c r="J378" s="10"/>
      <c r="K378" s="10"/>
      <c r="L378" s="10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9"/>
      <c r="D379" s="10"/>
      <c r="E379" s="10"/>
      <c r="F379" s="10"/>
      <c r="G379" s="10"/>
      <c r="H379" s="10"/>
      <c r="I379" s="10"/>
      <c r="J379" s="10"/>
      <c r="K379" s="10"/>
      <c r="L379" s="10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9"/>
      <c r="D380" s="10"/>
      <c r="E380" s="10"/>
      <c r="F380" s="10"/>
      <c r="G380" s="10"/>
      <c r="H380" s="10"/>
      <c r="I380" s="10"/>
      <c r="J380" s="10"/>
      <c r="K380" s="10"/>
      <c r="L380" s="10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9"/>
      <c r="D381" s="10"/>
      <c r="E381" s="10"/>
      <c r="F381" s="10"/>
      <c r="G381" s="10"/>
      <c r="H381" s="10"/>
      <c r="I381" s="10"/>
      <c r="J381" s="10"/>
      <c r="K381" s="10"/>
      <c r="L381" s="10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9"/>
      <c r="D382" s="10"/>
      <c r="E382" s="10"/>
      <c r="F382" s="10"/>
      <c r="G382" s="10"/>
      <c r="H382" s="10"/>
      <c r="I382" s="10"/>
      <c r="J382" s="10"/>
      <c r="K382" s="10"/>
      <c r="L382" s="10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9"/>
      <c r="D383" s="10"/>
      <c r="E383" s="10"/>
      <c r="F383" s="10"/>
      <c r="G383" s="10"/>
      <c r="H383" s="10"/>
      <c r="I383" s="10"/>
      <c r="J383" s="10"/>
      <c r="K383" s="10"/>
      <c r="L383" s="10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9"/>
      <c r="D384" s="10"/>
      <c r="E384" s="10"/>
      <c r="F384" s="10"/>
      <c r="G384" s="10"/>
      <c r="H384" s="10"/>
      <c r="I384" s="10"/>
      <c r="J384" s="10"/>
      <c r="K384" s="10"/>
      <c r="L384" s="10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9"/>
      <c r="D385" s="10"/>
      <c r="E385" s="10"/>
      <c r="F385" s="10"/>
      <c r="G385" s="10"/>
      <c r="H385" s="10"/>
      <c r="I385" s="10"/>
      <c r="J385" s="10"/>
      <c r="K385" s="10"/>
      <c r="L385" s="10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9"/>
      <c r="D386" s="10"/>
      <c r="E386" s="10"/>
      <c r="F386" s="10"/>
      <c r="G386" s="10"/>
      <c r="H386" s="10"/>
      <c r="I386" s="10"/>
      <c r="J386" s="10"/>
      <c r="K386" s="10"/>
      <c r="L386" s="10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9"/>
      <c r="D387" s="10"/>
      <c r="E387" s="10"/>
      <c r="F387" s="10"/>
      <c r="G387" s="10"/>
      <c r="H387" s="10"/>
      <c r="I387" s="10"/>
      <c r="J387" s="10"/>
      <c r="K387" s="10"/>
      <c r="L387" s="10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9"/>
      <c r="D388" s="10"/>
      <c r="E388" s="10"/>
      <c r="F388" s="10"/>
      <c r="G388" s="10"/>
      <c r="H388" s="10"/>
      <c r="I388" s="10"/>
      <c r="J388" s="10"/>
      <c r="K388" s="10"/>
      <c r="L388" s="10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9"/>
      <c r="D389" s="10"/>
      <c r="E389" s="10"/>
      <c r="F389" s="10"/>
      <c r="G389" s="10"/>
      <c r="H389" s="10"/>
      <c r="I389" s="10"/>
      <c r="J389" s="10"/>
      <c r="K389" s="10"/>
      <c r="L389" s="10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9"/>
      <c r="D390" s="10"/>
      <c r="E390" s="10"/>
      <c r="F390" s="10"/>
      <c r="G390" s="10"/>
      <c r="H390" s="10"/>
      <c r="I390" s="10"/>
      <c r="J390" s="10"/>
      <c r="K390" s="10"/>
      <c r="L390" s="10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9"/>
      <c r="D391" s="10"/>
      <c r="E391" s="10"/>
      <c r="F391" s="10"/>
      <c r="G391" s="10"/>
      <c r="H391" s="10"/>
      <c r="I391" s="10"/>
      <c r="J391" s="10"/>
      <c r="K391" s="10"/>
      <c r="L391" s="10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9"/>
      <c r="D392" s="10"/>
      <c r="E392" s="10"/>
      <c r="F392" s="10"/>
      <c r="G392" s="10"/>
      <c r="H392" s="10"/>
      <c r="I392" s="10"/>
      <c r="J392" s="10"/>
      <c r="K392" s="10"/>
      <c r="L392" s="10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9"/>
      <c r="D393" s="10"/>
      <c r="E393" s="10"/>
      <c r="F393" s="10"/>
      <c r="G393" s="10"/>
      <c r="H393" s="10"/>
      <c r="I393" s="10"/>
      <c r="J393" s="10"/>
      <c r="K393" s="10"/>
      <c r="L393" s="10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9"/>
      <c r="D394" s="10"/>
      <c r="E394" s="10"/>
      <c r="F394" s="10"/>
      <c r="G394" s="10"/>
      <c r="H394" s="10"/>
      <c r="I394" s="10"/>
      <c r="J394" s="10"/>
      <c r="K394" s="10"/>
      <c r="L394" s="10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9"/>
      <c r="D395" s="10"/>
      <c r="E395" s="10"/>
      <c r="F395" s="10"/>
      <c r="G395" s="10"/>
      <c r="H395" s="10"/>
      <c r="I395" s="10"/>
      <c r="J395" s="10"/>
      <c r="K395" s="10"/>
      <c r="L395" s="10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9"/>
      <c r="D396" s="10"/>
      <c r="E396" s="10"/>
      <c r="F396" s="10"/>
      <c r="G396" s="10"/>
      <c r="H396" s="10"/>
      <c r="I396" s="10"/>
      <c r="J396" s="10"/>
      <c r="K396" s="10"/>
      <c r="L396" s="10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9"/>
      <c r="D397" s="10"/>
      <c r="E397" s="10"/>
      <c r="F397" s="10"/>
      <c r="G397" s="10"/>
      <c r="H397" s="10"/>
      <c r="I397" s="10"/>
      <c r="J397" s="10"/>
      <c r="K397" s="10"/>
      <c r="L397" s="10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9"/>
      <c r="D398" s="10"/>
      <c r="E398" s="10"/>
      <c r="F398" s="10"/>
      <c r="G398" s="10"/>
      <c r="H398" s="10"/>
      <c r="I398" s="10"/>
      <c r="J398" s="10"/>
      <c r="K398" s="10"/>
      <c r="L398" s="10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9"/>
      <c r="D399" s="10"/>
      <c r="E399" s="10"/>
      <c r="F399" s="10"/>
      <c r="G399" s="10"/>
      <c r="H399" s="10"/>
      <c r="I399" s="10"/>
      <c r="J399" s="10"/>
      <c r="K399" s="10"/>
      <c r="L399" s="10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9"/>
      <c r="D400" s="10"/>
      <c r="E400" s="10"/>
      <c r="F400" s="10"/>
      <c r="G400" s="10"/>
      <c r="H400" s="10"/>
      <c r="I400" s="10"/>
      <c r="J400" s="10"/>
      <c r="K400" s="10"/>
      <c r="L400" s="10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9"/>
      <c r="D401" s="10"/>
      <c r="E401" s="10"/>
      <c r="F401" s="10"/>
      <c r="G401" s="10"/>
      <c r="H401" s="10"/>
      <c r="I401" s="10"/>
      <c r="J401" s="10"/>
      <c r="K401" s="10"/>
      <c r="L401" s="10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9"/>
      <c r="D402" s="10"/>
      <c r="E402" s="10"/>
      <c r="F402" s="10"/>
      <c r="G402" s="10"/>
      <c r="H402" s="10"/>
      <c r="I402" s="10"/>
      <c r="J402" s="10"/>
      <c r="K402" s="10"/>
      <c r="L402" s="10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9"/>
      <c r="D403" s="10"/>
      <c r="E403" s="10"/>
      <c r="F403" s="10"/>
      <c r="G403" s="10"/>
      <c r="H403" s="10"/>
      <c r="I403" s="10"/>
      <c r="J403" s="10"/>
      <c r="K403" s="10"/>
      <c r="L403" s="10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9"/>
      <c r="D404" s="10"/>
      <c r="E404" s="10"/>
      <c r="F404" s="10"/>
      <c r="G404" s="10"/>
      <c r="H404" s="10"/>
      <c r="I404" s="10"/>
      <c r="J404" s="10"/>
      <c r="K404" s="10"/>
      <c r="L404" s="10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9"/>
      <c r="D405" s="10"/>
      <c r="E405" s="10"/>
      <c r="F405" s="10"/>
      <c r="G405" s="10"/>
      <c r="H405" s="10"/>
      <c r="I405" s="10"/>
      <c r="J405" s="10"/>
      <c r="K405" s="10"/>
      <c r="L405" s="10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9"/>
      <c r="D406" s="10"/>
      <c r="E406" s="10"/>
      <c r="F406" s="10"/>
      <c r="G406" s="10"/>
      <c r="H406" s="10"/>
      <c r="I406" s="10"/>
      <c r="J406" s="10"/>
      <c r="K406" s="10"/>
      <c r="L406" s="10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9"/>
      <c r="D407" s="10"/>
      <c r="E407" s="10"/>
      <c r="F407" s="10"/>
      <c r="G407" s="10"/>
      <c r="H407" s="10"/>
      <c r="I407" s="10"/>
      <c r="J407" s="10"/>
      <c r="K407" s="10"/>
      <c r="L407" s="10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9"/>
      <c r="D408" s="10"/>
      <c r="E408" s="10"/>
      <c r="F408" s="10"/>
      <c r="G408" s="10"/>
      <c r="H408" s="10"/>
      <c r="I408" s="10"/>
      <c r="J408" s="10"/>
      <c r="K408" s="10"/>
      <c r="L408" s="10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9"/>
      <c r="D409" s="10"/>
      <c r="E409" s="10"/>
      <c r="F409" s="10"/>
      <c r="G409" s="10"/>
      <c r="H409" s="10"/>
      <c r="I409" s="10"/>
      <c r="J409" s="10"/>
      <c r="K409" s="10"/>
      <c r="L409" s="10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9"/>
      <c r="D410" s="10"/>
      <c r="E410" s="10"/>
      <c r="F410" s="10"/>
      <c r="G410" s="10"/>
      <c r="H410" s="10"/>
      <c r="I410" s="10"/>
      <c r="J410" s="10"/>
      <c r="K410" s="10"/>
      <c r="L410" s="10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9"/>
      <c r="D411" s="10"/>
      <c r="E411" s="10"/>
      <c r="F411" s="10"/>
      <c r="G411" s="10"/>
      <c r="H411" s="10"/>
      <c r="I411" s="10"/>
      <c r="J411" s="10"/>
      <c r="K411" s="10"/>
      <c r="L411" s="10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9"/>
      <c r="D412" s="10"/>
      <c r="E412" s="10"/>
      <c r="F412" s="10"/>
      <c r="G412" s="10"/>
      <c r="H412" s="10"/>
      <c r="I412" s="10"/>
      <c r="J412" s="10"/>
      <c r="K412" s="10"/>
      <c r="L412" s="10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9"/>
      <c r="D413" s="10"/>
      <c r="E413" s="10"/>
      <c r="F413" s="10"/>
      <c r="G413" s="10"/>
      <c r="H413" s="10"/>
      <c r="I413" s="10"/>
      <c r="J413" s="10"/>
      <c r="K413" s="10"/>
      <c r="L413" s="10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9"/>
      <c r="D414" s="10"/>
      <c r="E414" s="10"/>
      <c r="F414" s="10"/>
      <c r="G414" s="10"/>
      <c r="H414" s="10"/>
      <c r="I414" s="10"/>
      <c r="J414" s="10"/>
      <c r="K414" s="10"/>
      <c r="L414" s="10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9"/>
      <c r="D415" s="10"/>
      <c r="E415" s="10"/>
      <c r="F415" s="10"/>
      <c r="G415" s="10"/>
      <c r="H415" s="10"/>
      <c r="I415" s="10"/>
      <c r="J415" s="10"/>
      <c r="K415" s="10"/>
      <c r="L415" s="10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9"/>
      <c r="D416" s="10"/>
      <c r="E416" s="10"/>
      <c r="F416" s="10"/>
      <c r="G416" s="10"/>
      <c r="H416" s="10"/>
      <c r="I416" s="10"/>
      <c r="J416" s="10"/>
      <c r="K416" s="10"/>
      <c r="L416" s="10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9"/>
      <c r="D417" s="10"/>
      <c r="E417" s="10"/>
      <c r="F417" s="10"/>
      <c r="G417" s="10"/>
      <c r="H417" s="10"/>
      <c r="I417" s="10"/>
      <c r="J417" s="10"/>
      <c r="K417" s="10"/>
      <c r="L417" s="10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9"/>
      <c r="D418" s="10"/>
      <c r="E418" s="10"/>
      <c r="F418" s="10"/>
      <c r="G418" s="10"/>
      <c r="H418" s="10"/>
      <c r="I418" s="10"/>
      <c r="J418" s="10"/>
      <c r="K418" s="10"/>
      <c r="L418" s="10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9"/>
      <c r="D419" s="10"/>
      <c r="E419" s="10"/>
      <c r="F419" s="10"/>
      <c r="G419" s="10"/>
      <c r="H419" s="10"/>
      <c r="I419" s="10"/>
      <c r="J419" s="10"/>
      <c r="K419" s="10"/>
      <c r="L419" s="10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9"/>
      <c r="D420" s="10"/>
      <c r="E420" s="10"/>
      <c r="F420" s="10"/>
      <c r="G420" s="10"/>
      <c r="H420" s="10"/>
      <c r="I420" s="10"/>
      <c r="J420" s="10"/>
      <c r="K420" s="10"/>
      <c r="L420" s="10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9"/>
      <c r="D421" s="10"/>
      <c r="E421" s="10"/>
      <c r="F421" s="10"/>
      <c r="G421" s="10"/>
      <c r="H421" s="10"/>
      <c r="I421" s="10"/>
      <c r="J421" s="10"/>
      <c r="K421" s="10"/>
      <c r="L421" s="10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9"/>
      <c r="D422" s="10"/>
      <c r="E422" s="10"/>
      <c r="F422" s="10"/>
      <c r="G422" s="10"/>
      <c r="H422" s="10"/>
      <c r="I422" s="10"/>
      <c r="J422" s="10"/>
      <c r="K422" s="10"/>
      <c r="L422" s="10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9"/>
      <c r="D423" s="10"/>
      <c r="E423" s="10"/>
      <c r="F423" s="10"/>
      <c r="G423" s="10"/>
      <c r="H423" s="10"/>
      <c r="I423" s="10"/>
      <c r="J423" s="10"/>
      <c r="K423" s="10"/>
      <c r="L423" s="10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9"/>
      <c r="D424" s="10"/>
      <c r="E424" s="10"/>
      <c r="F424" s="10"/>
      <c r="G424" s="10"/>
      <c r="H424" s="10"/>
      <c r="I424" s="10"/>
      <c r="J424" s="10"/>
      <c r="K424" s="10"/>
      <c r="L424" s="10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9"/>
      <c r="D425" s="10"/>
      <c r="E425" s="10"/>
      <c r="F425" s="10"/>
      <c r="G425" s="10"/>
      <c r="H425" s="10"/>
      <c r="I425" s="10"/>
      <c r="J425" s="10"/>
      <c r="K425" s="10"/>
      <c r="L425" s="10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9"/>
      <c r="D426" s="10"/>
      <c r="E426" s="10"/>
      <c r="F426" s="10"/>
      <c r="G426" s="10"/>
      <c r="H426" s="10"/>
      <c r="I426" s="10"/>
      <c r="J426" s="10"/>
      <c r="K426" s="10"/>
      <c r="L426" s="10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9"/>
      <c r="D427" s="10"/>
      <c r="E427" s="10"/>
      <c r="F427" s="10"/>
      <c r="G427" s="10"/>
      <c r="H427" s="10"/>
      <c r="I427" s="10"/>
      <c r="J427" s="10"/>
      <c r="K427" s="10"/>
      <c r="L427" s="10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9"/>
      <c r="D428" s="10"/>
      <c r="E428" s="10"/>
      <c r="F428" s="10"/>
      <c r="G428" s="10"/>
      <c r="H428" s="10"/>
      <c r="I428" s="10"/>
      <c r="J428" s="10"/>
      <c r="K428" s="10"/>
      <c r="L428" s="10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9"/>
      <c r="D429" s="10"/>
      <c r="E429" s="10"/>
      <c r="F429" s="10"/>
      <c r="G429" s="10"/>
      <c r="H429" s="10"/>
      <c r="I429" s="10"/>
      <c r="J429" s="10"/>
      <c r="K429" s="10"/>
      <c r="L429" s="10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9"/>
      <c r="D430" s="10"/>
      <c r="E430" s="10"/>
      <c r="F430" s="10"/>
      <c r="G430" s="10"/>
      <c r="H430" s="10"/>
      <c r="I430" s="10"/>
      <c r="J430" s="10"/>
      <c r="K430" s="10"/>
      <c r="L430" s="10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9"/>
      <c r="D431" s="10"/>
      <c r="E431" s="10"/>
      <c r="F431" s="10"/>
      <c r="G431" s="10"/>
      <c r="H431" s="10"/>
      <c r="I431" s="10"/>
      <c r="J431" s="10"/>
      <c r="K431" s="10"/>
      <c r="L431" s="10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9"/>
      <c r="D432" s="10"/>
      <c r="E432" s="10"/>
      <c r="F432" s="10"/>
      <c r="G432" s="10"/>
      <c r="H432" s="10"/>
      <c r="I432" s="10"/>
      <c r="J432" s="10"/>
      <c r="K432" s="10"/>
      <c r="L432" s="10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9"/>
      <c r="D433" s="10"/>
      <c r="E433" s="10"/>
      <c r="F433" s="10"/>
      <c r="G433" s="10"/>
      <c r="H433" s="10"/>
      <c r="I433" s="10"/>
      <c r="J433" s="10"/>
      <c r="K433" s="10"/>
      <c r="L433" s="10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9"/>
      <c r="D434" s="10"/>
      <c r="E434" s="10"/>
      <c r="F434" s="10"/>
      <c r="G434" s="10"/>
      <c r="H434" s="10"/>
      <c r="I434" s="10"/>
      <c r="J434" s="10"/>
      <c r="K434" s="10"/>
      <c r="L434" s="10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9"/>
      <c r="D435" s="10"/>
      <c r="E435" s="10"/>
      <c r="F435" s="10"/>
      <c r="G435" s="10"/>
      <c r="H435" s="10"/>
      <c r="I435" s="10"/>
      <c r="J435" s="10"/>
      <c r="K435" s="10"/>
      <c r="L435" s="10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9"/>
      <c r="D436" s="10"/>
      <c r="E436" s="10"/>
      <c r="F436" s="10"/>
      <c r="G436" s="10"/>
      <c r="H436" s="10"/>
      <c r="I436" s="10"/>
      <c r="J436" s="10"/>
      <c r="K436" s="10"/>
      <c r="L436" s="10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9"/>
      <c r="D437" s="10"/>
      <c r="E437" s="10"/>
      <c r="F437" s="10"/>
      <c r="G437" s="10"/>
      <c r="H437" s="10"/>
      <c r="I437" s="10"/>
      <c r="J437" s="10"/>
      <c r="K437" s="10"/>
      <c r="L437" s="10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9"/>
      <c r="D438" s="10"/>
      <c r="E438" s="10"/>
      <c r="F438" s="10"/>
      <c r="G438" s="10"/>
      <c r="H438" s="10"/>
      <c r="I438" s="10"/>
      <c r="J438" s="10"/>
      <c r="K438" s="10"/>
      <c r="L438" s="10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9"/>
      <c r="D439" s="10"/>
      <c r="E439" s="10"/>
      <c r="F439" s="10"/>
      <c r="G439" s="10"/>
      <c r="H439" s="10"/>
      <c r="I439" s="10"/>
      <c r="J439" s="10"/>
      <c r="K439" s="10"/>
      <c r="L439" s="10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9"/>
      <c r="D440" s="10"/>
      <c r="E440" s="10"/>
      <c r="F440" s="10"/>
      <c r="G440" s="10"/>
      <c r="H440" s="10"/>
      <c r="I440" s="10"/>
      <c r="J440" s="10"/>
      <c r="K440" s="10"/>
      <c r="L440" s="10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9"/>
      <c r="D441" s="10"/>
      <c r="E441" s="10"/>
      <c r="F441" s="10"/>
      <c r="G441" s="10"/>
      <c r="H441" s="10"/>
      <c r="I441" s="10"/>
      <c r="J441" s="10"/>
      <c r="K441" s="10"/>
      <c r="L441" s="10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9"/>
      <c r="D442" s="10"/>
      <c r="E442" s="10"/>
      <c r="F442" s="10"/>
      <c r="G442" s="10"/>
      <c r="H442" s="10"/>
      <c r="I442" s="10"/>
      <c r="J442" s="10"/>
      <c r="K442" s="10"/>
      <c r="L442" s="10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9"/>
      <c r="D443" s="10"/>
      <c r="E443" s="10"/>
      <c r="F443" s="10"/>
      <c r="G443" s="10"/>
      <c r="H443" s="10"/>
      <c r="I443" s="10"/>
      <c r="J443" s="10"/>
      <c r="K443" s="10"/>
      <c r="L443" s="10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9"/>
      <c r="D444" s="10"/>
      <c r="E444" s="10"/>
      <c r="F444" s="10"/>
      <c r="G444" s="10"/>
      <c r="H444" s="10"/>
      <c r="I444" s="10"/>
      <c r="J444" s="10"/>
      <c r="K444" s="10"/>
      <c r="L444" s="10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9"/>
      <c r="D445" s="10"/>
      <c r="E445" s="10"/>
      <c r="F445" s="10"/>
      <c r="G445" s="10"/>
      <c r="H445" s="10"/>
      <c r="I445" s="10"/>
      <c r="J445" s="10"/>
      <c r="K445" s="10"/>
      <c r="L445" s="10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9"/>
      <c r="D446" s="10"/>
      <c r="E446" s="10"/>
      <c r="F446" s="10"/>
      <c r="G446" s="10"/>
      <c r="H446" s="10"/>
      <c r="I446" s="10"/>
      <c r="J446" s="10"/>
      <c r="K446" s="10"/>
      <c r="L446" s="10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9"/>
      <c r="D447" s="10"/>
      <c r="E447" s="10"/>
      <c r="F447" s="10"/>
      <c r="G447" s="10"/>
      <c r="H447" s="10"/>
      <c r="I447" s="10"/>
      <c r="J447" s="10"/>
      <c r="K447" s="10"/>
      <c r="L447" s="10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9"/>
      <c r="D448" s="10"/>
      <c r="E448" s="10"/>
      <c r="F448" s="10"/>
      <c r="G448" s="10"/>
      <c r="H448" s="10"/>
      <c r="I448" s="10"/>
      <c r="J448" s="10"/>
      <c r="K448" s="10"/>
      <c r="L448" s="10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9"/>
      <c r="D449" s="10"/>
      <c r="E449" s="10"/>
      <c r="F449" s="10"/>
      <c r="G449" s="10"/>
      <c r="H449" s="10"/>
      <c r="I449" s="10"/>
      <c r="J449" s="10"/>
      <c r="K449" s="10"/>
      <c r="L449" s="10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9"/>
      <c r="D450" s="10"/>
      <c r="E450" s="10"/>
      <c r="F450" s="10"/>
      <c r="G450" s="10"/>
      <c r="H450" s="10"/>
      <c r="I450" s="10"/>
      <c r="J450" s="10"/>
      <c r="K450" s="10"/>
      <c r="L450" s="10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9"/>
      <c r="D451" s="10"/>
      <c r="E451" s="10"/>
      <c r="F451" s="10"/>
      <c r="G451" s="10"/>
      <c r="H451" s="10"/>
      <c r="I451" s="10"/>
      <c r="J451" s="10"/>
      <c r="K451" s="10"/>
      <c r="L451" s="10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9"/>
      <c r="D452" s="10"/>
      <c r="E452" s="10"/>
      <c r="F452" s="10"/>
      <c r="G452" s="10"/>
      <c r="H452" s="10"/>
      <c r="I452" s="10"/>
      <c r="J452" s="10"/>
      <c r="K452" s="10"/>
      <c r="L452" s="10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9"/>
      <c r="D453" s="10"/>
      <c r="E453" s="10"/>
      <c r="F453" s="10"/>
      <c r="G453" s="10"/>
      <c r="H453" s="10"/>
      <c r="I453" s="10"/>
      <c r="J453" s="10"/>
      <c r="K453" s="10"/>
      <c r="L453" s="10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9"/>
      <c r="D454" s="10"/>
      <c r="E454" s="10"/>
      <c r="F454" s="10"/>
      <c r="G454" s="10"/>
      <c r="H454" s="10"/>
      <c r="I454" s="10"/>
      <c r="J454" s="10"/>
      <c r="K454" s="10"/>
      <c r="L454" s="10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9"/>
      <c r="D455" s="10"/>
      <c r="E455" s="10"/>
      <c r="F455" s="10"/>
      <c r="G455" s="10"/>
      <c r="H455" s="10"/>
      <c r="I455" s="10"/>
      <c r="J455" s="10"/>
      <c r="K455" s="10"/>
      <c r="L455" s="10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9"/>
      <c r="D456" s="10"/>
      <c r="E456" s="10"/>
      <c r="F456" s="10"/>
      <c r="G456" s="10"/>
      <c r="H456" s="10"/>
      <c r="I456" s="10"/>
      <c r="J456" s="10"/>
      <c r="K456" s="10"/>
      <c r="L456" s="10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9"/>
      <c r="D457" s="10"/>
      <c r="E457" s="10"/>
      <c r="F457" s="10"/>
      <c r="G457" s="10"/>
      <c r="H457" s="10"/>
      <c r="I457" s="10"/>
      <c r="J457" s="10"/>
      <c r="K457" s="10"/>
      <c r="L457" s="10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9"/>
      <c r="D458" s="10"/>
      <c r="E458" s="10"/>
      <c r="F458" s="10"/>
      <c r="G458" s="10"/>
      <c r="H458" s="10"/>
      <c r="I458" s="10"/>
      <c r="J458" s="10"/>
      <c r="K458" s="10"/>
      <c r="L458" s="10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9"/>
      <c r="D459" s="10"/>
      <c r="E459" s="10"/>
      <c r="F459" s="10"/>
      <c r="G459" s="10"/>
      <c r="H459" s="10"/>
      <c r="I459" s="10"/>
      <c r="J459" s="10"/>
      <c r="K459" s="10"/>
      <c r="L459" s="10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9"/>
      <c r="D460" s="10"/>
      <c r="E460" s="10"/>
      <c r="F460" s="10"/>
      <c r="G460" s="10"/>
      <c r="H460" s="10"/>
      <c r="I460" s="10"/>
      <c r="J460" s="10"/>
      <c r="K460" s="10"/>
      <c r="L460" s="10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9"/>
      <c r="D461" s="10"/>
      <c r="E461" s="10"/>
      <c r="F461" s="10"/>
      <c r="G461" s="10"/>
      <c r="H461" s="10"/>
      <c r="I461" s="10"/>
      <c r="J461" s="10"/>
      <c r="K461" s="10"/>
      <c r="L461" s="10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9"/>
      <c r="D462" s="10"/>
      <c r="E462" s="10"/>
      <c r="F462" s="10"/>
      <c r="G462" s="10"/>
      <c r="H462" s="10"/>
      <c r="I462" s="10"/>
      <c r="J462" s="10"/>
      <c r="K462" s="10"/>
      <c r="L462" s="10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9"/>
      <c r="D463" s="10"/>
      <c r="E463" s="10"/>
      <c r="F463" s="10"/>
      <c r="G463" s="10"/>
      <c r="H463" s="10"/>
      <c r="I463" s="10"/>
      <c r="J463" s="10"/>
      <c r="K463" s="10"/>
      <c r="L463" s="10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9"/>
      <c r="D464" s="10"/>
      <c r="E464" s="10"/>
      <c r="F464" s="10"/>
      <c r="G464" s="10"/>
      <c r="H464" s="10"/>
      <c r="I464" s="10"/>
      <c r="J464" s="10"/>
      <c r="K464" s="10"/>
      <c r="L464" s="10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9"/>
      <c r="D465" s="10"/>
      <c r="E465" s="10"/>
      <c r="F465" s="10"/>
      <c r="G465" s="10"/>
      <c r="H465" s="10"/>
      <c r="I465" s="10"/>
      <c r="J465" s="10"/>
      <c r="K465" s="10"/>
      <c r="L465" s="10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9"/>
      <c r="D466" s="10"/>
      <c r="E466" s="10"/>
      <c r="F466" s="10"/>
      <c r="G466" s="10"/>
      <c r="H466" s="10"/>
      <c r="I466" s="10"/>
      <c r="J466" s="10"/>
      <c r="K466" s="10"/>
      <c r="L466" s="10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9"/>
      <c r="D467" s="10"/>
      <c r="E467" s="10"/>
      <c r="F467" s="10"/>
      <c r="G467" s="10"/>
      <c r="H467" s="10"/>
      <c r="I467" s="10"/>
      <c r="J467" s="10"/>
      <c r="K467" s="10"/>
      <c r="L467" s="10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9"/>
      <c r="D468" s="10"/>
      <c r="E468" s="10"/>
      <c r="F468" s="10"/>
      <c r="G468" s="10"/>
      <c r="H468" s="10"/>
      <c r="I468" s="10"/>
      <c r="J468" s="10"/>
      <c r="K468" s="10"/>
      <c r="L468" s="10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9"/>
      <c r="D469" s="10"/>
      <c r="E469" s="10"/>
      <c r="F469" s="10"/>
      <c r="G469" s="10"/>
      <c r="H469" s="10"/>
      <c r="I469" s="10"/>
      <c r="J469" s="10"/>
      <c r="K469" s="10"/>
      <c r="L469" s="10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9"/>
      <c r="D470" s="10"/>
      <c r="E470" s="10"/>
      <c r="F470" s="10"/>
      <c r="G470" s="10"/>
      <c r="H470" s="10"/>
      <c r="I470" s="10"/>
      <c r="J470" s="10"/>
      <c r="K470" s="10"/>
      <c r="L470" s="10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9"/>
      <c r="D471" s="10"/>
      <c r="E471" s="10"/>
      <c r="F471" s="10"/>
      <c r="G471" s="10"/>
      <c r="H471" s="10"/>
      <c r="I471" s="10"/>
      <c r="J471" s="10"/>
      <c r="K471" s="10"/>
      <c r="L471" s="10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9"/>
      <c r="D472" s="10"/>
      <c r="E472" s="10"/>
      <c r="F472" s="10"/>
      <c r="G472" s="10"/>
      <c r="H472" s="10"/>
      <c r="I472" s="10"/>
      <c r="J472" s="10"/>
      <c r="K472" s="10"/>
      <c r="L472" s="10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9"/>
      <c r="D473" s="10"/>
      <c r="E473" s="10"/>
      <c r="F473" s="10"/>
      <c r="G473" s="10"/>
      <c r="H473" s="10"/>
      <c r="I473" s="10"/>
      <c r="J473" s="10"/>
      <c r="K473" s="10"/>
      <c r="L473" s="10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9"/>
      <c r="D474" s="10"/>
      <c r="E474" s="10"/>
      <c r="F474" s="10"/>
      <c r="G474" s="10"/>
      <c r="H474" s="10"/>
      <c r="I474" s="10"/>
      <c r="J474" s="10"/>
      <c r="K474" s="10"/>
      <c r="L474" s="10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9"/>
      <c r="D475" s="10"/>
      <c r="E475" s="10"/>
      <c r="F475" s="10"/>
      <c r="G475" s="10"/>
      <c r="H475" s="10"/>
      <c r="I475" s="10"/>
      <c r="J475" s="10"/>
      <c r="K475" s="10"/>
      <c r="L475" s="10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9"/>
      <c r="D476" s="10"/>
      <c r="E476" s="10"/>
      <c r="F476" s="10"/>
      <c r="G476" s="10"/>
      <c r="H476" s="10"/>
      <c r="I476" s="10"/>
      <c r="J476" s="10"/>
      <c r="K476" s="10"/>
      <c r="L476" s="10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9"/>
      <c r="D477" s="10"/>
      <c r="E477" s="10"/>
      <c r="F477" s="10"/>
      <c r="G477" s="10"/>
      <c r="H477" s="10"/>
      <c r="I477" s="10"/>
      <c r="J477" s="10"/>
      <c r="K477" s="10"/>
      <c r="L477" s="10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9"/>
      <c r="D478" s="10"/>
      <c r="E478" s="10"/>
      <c r="F478" s="10"/>
      <c r="G478" s="10"/>
      <c r="H478" s="10"/>
      <c r="I478" s="10"/>
      <c r="J478" s="10"/>
      <c r="K478" s="10"/>
      <c r="L478" s="10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9"/>
      <c r="D479" s="10"/>
      <c r="E479" s="10"/>
      <c r="F479" s="10"/>
      <c r="G479" s="10"/>
      <c r="H479" s="10"/>
      <c r="I479" s="10"/>
      <c r="J479" s="10"/>
      <c r="K479" s="10"/>
      <c r="L479" s="10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9"/>
      <c r="D480" s="10"/>
      <c r="E480" s="10"/>
      <c r="F480" s="10"/>
      <c r="G480" s="10"/>
      <c r="H480" s="10"/>
      <c r="I480" s="10"/>
      <c r="J480" s="10"/>
      <c r="K480" s="10"/>
      <c r="L480" s="10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9"/>
      <c r="D481" s="10"/>
      <c r="E481" s="10"/>
      <c r="F481" s="10"/>
      <c r="G481" s="10"/>
      <c r="H481" s="10"/>
      <c r="I481" s="10"/>
      <c r="J481" s="10"/>
      <c r="K481" s="10"/>
      <c r="L481" s="10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9"/>
      <c r="D482" s="10"/>
      <c r="E482" s="10"/>
      <c r="F482" s="10"/>
      <c r="G482" s="10"/>
      <c r="H482" s="10"/>
      <c r="I482" s="10"/>
      <c r="J482" s="10"/>
      <c r="K482" s="10"/>
      <c r="L482" s="10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9"/>
      <c r="D483" s="10"/>
      <c r="E483" s="10"/>
      <c r="F483" s="10"/>
      <c r="G483" s="10"/>
      <c r="H483" s="10"/>
      <c r="I483" s="10"/>
      <c r="J483" s="10"/>
      <c r="K483" s="10"/>
      <c r="L483" s="10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9"/>
      <c r="D484" s="10"/>
      <c r="E484" s="10"/>
      <c r="F484" s="10"/>
      <c r="G484" s="10"/>
      <c r="H484" s="10"/>
      <c r="I484" s="10"/>
      <c r="J484" s="10"/>
      <c r="K484" s="10"/>
      <c r="L484" s="10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9"/>
      <c r="D485" s="10"/>
      <c r="E485" s="10"/>
      <c r="F485" s="10"/>
      <c r="G485" s="10"/>
      <c r="H485" s="10"/>
      <c r="I485" s="10"/>
      <c r="J485" s="10"/>
      <c r="K485" s="10"/>
      <c r="L485" s="10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9"/>
      <c r="D486" s="10"/>
      <c r="E486" s="10"/>
      <c r="F486" s="10"/>
      <c r="G486" s="10"/>
      <c r="H486" s="10"/>
      <c r="I486" s="10"/>
      <c r="J486" s="10"/>
      <c r="K486" s="10"/>
      <c r="L486" s="10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9"/>
      <c r="D487" s="10"/>
      <c r="E487" s="10"/>
      <c r="F487" s="10"/>
      <c r="G487" s="10"/>
      <c r="H487" s="10"/>
      <c r="I487" s="10"/>
      <c r="J487" s="10"/>
      <c r="K487" s="10"/>
      <c r="L487" s="10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9"/>
      <c r="D488" s="10"/>
      <c r="E488" s="10"/>
      <c r="F488" s="10"/>
      <c r="G488" s="10"/>
      <c r="H488" s="10"/>
      <c r="I488" s="10"/>
      <c r="J488" s="10"/>
      <c r="K488" s="10"/>
      <c r="L488" s="10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9"/>
      <c r="D489" s="10"/>
      <c r="E489" s="10"/>
      <c r="F489" s="10"/>
      <c r="G489" s="10"/>
      <c r="H489" s="10"/>
      <c r="I489" s="10"/>
      <c r="J489" s="10"/>
      <c r="K489" s="10"/>
      <c r="L489" s="10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9"/>
      <c r="D490" s="10"/>
      <c r="E490" s="10"/>
      <c r="F490" s="10"/>
      <c r="G490" s="10"/>
      <c r="H490" s="10"/>
      <c r="I490" s="10"/>
      <c r="J490" s="10"/>
      <c r="K490" s="10"/>
      <c r="L490" s="10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9"/>
      <c r="D491" s="10"/>
      <c r="E491" s="10"/>
      <c r="F491" s="10"/>
      <c r="G491" s="10"/>
      <c r="H491" s="10"/>
      <c r="I491" s="10"/>
      <c r="J491" s="10"/>
      <c r="K491" s="10"/>
      <c r="L491" s="10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9"/>
      <c r="D492" s="10"/>
      <c r="E492" s="10"/>
      <c r="F492" s="10"/>
      <c r="G492" s="10"/>
      <c r="H492" s="10"/>
      <c r="I492" s="10"/>
      <c r="J492" s="10"/>
      <c r="K492" s="10"/>
      <c r="L492" s="10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9"/>
      <c r="D493" s="10"/>
      <c r="E493" s="10"/>
      <c r="F493" s="10"/>
      <c r="G493" s="10"/>
      <c r="H493" s="10"/>
      <c r="I493" s="10"/>
      <c r="J493" s="10"/>
      <c r="K493" s="10"/>
      <c r="L493" s="10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9"/>
      <c r="D494" s="10"/>
      <c r="E494" s="10"/>
      <c r="F494" s="10"/>
      <c r="G494" s="10"/>
      <c r="H494" s="10"/>
      <c r="I494" s="10"/>
      <c r="J494" s="10"/>
      <c r="K494" s="10"/>
      <c r="L494" s="10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9"/>
      <c r="D495" s="10"/>
      <c r="E495" s="10"/>
      <c r="F495" s="10"/>
      <c r="G495" s="10"/>
      <c r="H495" s="10"/>
      <c r="I495" s="10"/>
      <c r="J495" s="10"/>
      <c r="K495" s="10"/>
      <c r="L495" s="10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9"/>
      <c r="D496" s="10"/>
      <c r="E496" s="10"/>
      <c r="F496" s="10"/>
      <c r="G496" s="10"/>
      <c r="H496" s="10"/>
      <c r="I496" s="10"/>
      <c r="J496" s="10"/>
      <c r="K496" s="10"/>
      <c r="L496" s="10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9"/>
      <c r="D497" s="10"/>
      <c r="E497" s="10"/>
      <c r="F497" s="10"/>
      <c r="G497" s="10"/>
      <c r="H497" s="10"/>
      <c r="I497" s="10"/>
      <c r="J497" s="10"/>
      <c r="K497" s="10"/>
      <c r="L497" s="10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9"/>
      <c r="D498" s="10"/>
      <c r="E498" s="10"/>
      <c r="F498" s="10"/>
      <c r="G498" s="10"/>
      <c r="H498" s="10"/>
      <c r="I498" s="10"/>
      <c r="J498" s="10"/>
      <c r="K498" s="10"/>
      <c r="L498" s="10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9"/>
      <c r="D499" s="10"/>
      <c r="E499" s="10"/>
      <c r="F499" s="10"/>
      <c r="G499" s="10"/>
      <c r="H499" s="10"/>
      <c r="I499" s="10"/>
      <c r="J499" s="10"/>
      <c r="K499" s="10"/>
      <c r="L499" s="10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9"/>
      <c r="D500" s="10"/>
      <c r="E500" s="10"/>
      <c r="F500" s="10"/>
      <c r="G500" s="10"/>
      <c r="H500" s="10"/>
      <c r="I500" s="10"/>
      <c r="J500" s="10"/>
      <c r="K500" s="10"/>
      <c r="L500" s="10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9"/>
      <c r="D501" s="10"/>
      <c r="E501" s="10"/>
      <c r="F501" s="10"/>
      <c r="G501" s="10"/>
      <c r="H501" s="10"/>
      <c r="I501" s="10"/>
      <c r="J501" s="10"/>
      <c r="K501" s="10"/>
      <c r="L501" s="10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9"/>
      <c r="D502" s="10"/>
      <c r="E502" s="10"/>
      <c r="F502" s="10"/>
      <c r="G502" s="10"/>
      <c r="H502" s="10"/>
      <c r="I502" s="10"/>
      <c r="J502" s="10"/>
      <c r="K502" s="10"/>
      <c r="L502" s="10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9"/>
      <c r="D503" s="10"/>
      <c r="E503" s="10"/>
      <c r="F503" s="10"/>
      <c r="G503" s="10"/>
      <c r="H503" s="10"/>
      <c r="I503" s="10"/>
      <c r="J503" s="10"/>
      <c r="K503" s="10"/>
      <c r="L503" s="10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9"/>
      <c r="D504" s="10"/>
      <c r="E504" s="10"/>
      <c r="F504" s="10"/>
      <c r="G504" s="10"/>
      <c r="H504" s="10"/>
      <c r="I504" s="10"/>
      <c r="J504" s="10"/>
      <c r="K504" s="10"/>
      <c r="L504" s="10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9"/>
      <c r="D505" s="10"/>
      <c r="E505" s="10"/>
      <c r="F505" s="10"/>
      <c r="G505" s="10"/>
      <c r="H505" s="10"/>
      <c r="I505" s="10"/>
      <c r="J505" s="10"/>
      <c r="K505" s="10"/>
      <c r="L505" s="10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9"/>
      <c r="D506" s="10"/>
      <c r="E506" s="10"/>
      <c r="F506" s="10"/>
      <c r="G506" s="10"/>
      <c r="H506" s="10"/>
      <c r="I506" s="10"/>
      <c r="J506" s="10"/>
      <c r="K506" s="10"/>
      <c r="L506" s="10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9"/>
      <c r="D507" s="10"/>
      <c r="E507" s="10"/>
      <c r="F507" s="10"/>
      <c r="G507" s="10"/>
      <c r="H507" s="10"/>
      <c r="I507" s="10"/>
      <c r="J507" s="10"/>
      <c r="K507" s="10"/>
      <c r="L507" s="10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9"/>
      <c r="D508" s="10"/>
      <c r="E508" s="10"/>
      <c r="F508" s="10"/>
      <c r="G508" s="10"/>
      <c r="H508" s="10"/>
      <c r="I508" s="10"/>
      <c r="J508" s="10"/>
      <c r="K508" s="10"/>
      <c r="L508" s="10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9"/>
      <c r="D509" s="10"/>
      <c r="E509" s="10"/>
      <c r="F509" s="10"/>
      <c r="G509" s="10"/>
      <c r="H509" s="10"/>
      <c r="I509" s="10"/>
      <c r="J509" s="10"/>
      <c r="K509" s="10"/>
      <c r="L509" s="10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9"/>
      <c r="D510" s="10"/>
      <c r="E510" s="10"/>
      <c r="F510" s="10"/>
      <c r="G510" s="10"/>
      <c r="H510" s="10"/>
      <c r="I510" s="10"/>
      <c r="J510" s="10"/>
      <c r="K510" s="10"/>
      <c r="L510" s="10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9"/>
      <c r="D511" s="10"/>
      <c r="E511" s="10"/>
      <c r="F511" s="10"/>
      <c r="G511" s="10"/>
      <c r="H511" s="10"/>
      <c r="I511" s="10"/>
      <c r="J511" s="10"/>
      <c r="K511" s="10"/>
      <c r="L511" s="10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9"/>
      <c r="D512" s="10"/>
      <c r="E512" s="10"/>
      <c r="F512" s="10"/>
      <c r="G512" s="10"/>
      <c r="H512" s="10"/>
      <c r="I512" s="10"/>
      <c r="J512" s="10"/>
      <c r="K512" s="10"/>
      <c r="L512" s="10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9"/>
      <c r="D513" s="10"/>
      <c r="E513" s="10"/>
      <c r="F513" s="10"/>
      <c r="G513" s="10"/>
      <c r="H513" s="10"/>
      <c r="I513" s="10"/>
      <c r="J513" s="10"/>
      <c r="K513" s="10"/>
      <c r="L513" s="10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9"/>
      <c r="D514" s="10"/>
      <c r="E514" s="10"/>
      <c r="F514" s="10"/>
      <c r="G514" s="10"/>
      <c r="H514" s="10"/>
      <c r="I514" s="10"/>
      <c r="J514" s="10"/>
      <c r="K514" s="10"/>
      <c r="L514" s="10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9"/>
      <c r="D515" s="10"/>
      <c r="E515" s="10"/>
      <c r="F515" s="10"/>
      <c r="G515" s="10"/>
      <c r="H515" s="10"/>
      <c r="I515" s="10"/>
      <c r="J515" s="10"/>
      <c r="K515" s="10"/>
      <c r="L515" s="10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9"/>
      <c r="D516" s="10"/>
      <c r="E516" s="10"/>
      <c r="F516" s="10"/>
      <c r="G516" s="10"/>
      <c r="H516" s="10"/>
      <c r="I516" s="10"/>
      <c r="J516" s="10"/>
      <c r="K516" s="10"/>
      <c r="L516" s="10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9"/>
      <c r="D517" s="10"/>
      <c r="E517" s="10"/>
      <c r="F517" s="10"/>
      <c r="G517" s="10"/>
      <c r="H517" s="10"/>
      <c r="I517" s="10"/>
      <c r="J517" s="10"/>
      <c r="K517" s="10"/>
      <c r="L517" s="10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9"/>
      <c r="D518" s="10"/>
      <c r="E518" s="10"/>
      <c r="F518" s="10"/>
      <c r="G518" s="10"/>
      <c r="H518" s="10"/>
      <c r="I518" s="10"/>
      <c r="J518" s="10"/>
      <c r="K518" s="10"/>
      <c r="L518" s="10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9"/>
      <c r="D519" s="10"/>
      <c r="E519" s="10"/>
      <c r="F519" s="10"/>
      <c r="G519" s="10"/>
      <c r="H519" s="10"/>
      <c r="I519" s="10"/>
      <c r="J519" s="10"/>
      <c r="K519" s="10"/>
      <c r="L519" s="10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9"/>
      <c r="D520" s="10"/>
      <c r="E520" s="10"/>
      <c r="F520" s="10"/>
      <c r="G520" s="10"/>
      <c r="H520" s="10"/>
      <c r="I520" s="10"/>
      <c r="J520" s="10"/>
      <c r="K520" s="10"/>
      <c r="L520" s="10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9"/>
      <c r="D521" s="10"/>
      <c r="E521" s="10"/>
      <c r="F521" s="10"/>
      <c r="G521" s="10"/>
      <c r="H521" s="10"/>
      <c r="I521" s="10"/>
      <c r="J521" s="10"/>
      <c r="K521" s="10"/>
      <c r="L521" s="10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9"/>
      <c r="D522" s="10"/>
      <c r="E522" s="10"/>
      <c r="F522" s="10"/>
      <c r="G522" s="10"/>
      <c r="H522" s="10"/>
      <c r="I522" s="10"/>
      <c r="J522" s="10"/>
      <c r="K522" s="10"/>
      <c r="L522" s="10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9"/>
      <c r="D523" s="10"/>
      <c r="E523" s="10"/>
      <c r="F523" s="10"/>
      <c r="G523" s="10"/>
      <c r="H523" s="10"/>
      <c r="I523" s="10"/>
      <c r="J523" s="10"/>
      <c r="K523" s="10"/>
      <c r="L523" s="10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9"/>
      <c r="D524" s="10"/>
      <c r="E524" s="10"/>
      <c r="F524" s="10"/>
      <c r="G524" s="10"/>
      <c r="H524" s="10"/>
      <c r="I524" s="10"/>
      <c r="J524" s="10"/>
      <c r="K524" s="10"/>
      <c r="L524" s="10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9"/>
      <c r="D525" s="10"/>
      <c r="E525" s="10"/>
      <c r="F525" s="10"/>
      <c r="G525" s="10"/>
      <c r="H525" s="10"/>
      <c r="I525" s="10"/>
      <c r="J525" s="10"/>
      <c r="K525" s="10"/>
      <c r="L525" s="10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9"/>
      <c r="D526" s="10"/>
      <c r="E526" s="10"/>
      <c r="F526" s="10"/>
      <c r="G526" s="10"/>
      <c r="H526" s="10"/>
      <c r="I526" s="10"/>
      <c r="J526" s="10"/>
      <c r="K526" s="10"/>
      <c r="L526" s="10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9"/>
      <c r="D527" s="10"/>
      <c r="E527" s="10"/>
      <c r="F527" s="10"/>
      <c r="G527" s="10"/>
      <c r="H527" s="10"/>
      <c r="I527" s="10"/>
      <c r="J527" s="10"/>
      <c r="K527" s="10"/>
      <c r="L527" s="10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9"/>
      <c r="D528" s="10"/>
      <c r="E528" s="10"/>
      <c r="F528" s="10"/>
      <c r="G528" s="10"/>
      <c r="H528" s="10"/>
      <c r="I528" s="10"/>
      <c r="J528" s="10"/>
      <c r="K528" s="10"/>
      <c r="L528" s="10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9"/>
      <c r="D529" s="10"/>
      <c r="E529" s="10"/>
      <c r="F529" s="10"/>
      <c r="G529" s="10"/>
      <c r="H529" s="10"/>
      <c r="I529" s="10"/>
      <c r="J529" s="10"/>
      <c r="K529" s="10"/>
      <c r="L529" s="10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9"/>
      <c r="D530" s="10"/>
      <c r="E530" s="10"/>
      <c r="F530" s="10"/>
      <c r="G530" s="10"/>
      <c r="H530" s="10"/>
      <c r="I530" s="10"/>
      <c r="J530" s="10"/>
      <c r="K530" s="10"/>
      <c r="L530" s="10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9"/>
      <c r="D531" s="10"/>
      <c r="E531" s="10"/>
      <c r="F531" s="10"/>
      <c r="G531" s="10"/>
      <c r="H531" s="10"/>
      <c r="I531" s="10"/>
      <c r="J531" s="10"/>
      <c r="K531" s="10"/>
      <c r="L531" s="10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9"/>
      <c r="D532" s="10"/>
      <c r="E532" s="10"/>
      <c r="F532" s="10"/>
      <c r="G532" s="10"/>
      <c r="H532" s="10"/>
      <c r="I532" s="10"/>
      <c r="J532" s="10"/>
      <c r="K532" s="10"/>
      <c r="L532" s="10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9"/>
      <c r="D533" s="10"/>
      <c r="E533" s="10"/>
      <c r="F533" s="10"/>
      <c r="G533" s="10"/>
      <c r="H533" s="10"/>
      <c r="I533" s="10"/>
      <c r="J533" s="10"/>
      <c r="K533" s="10"/>
      <c r="L533" s="10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9"/>
      <c r="D534" s="10"/>
      <c r="E534" s="10"/>
      <c r="F534" s="10"/>
      <c r="G534" s="10"/>
      <c r="H534" s="10"/>
      <c r="I534" s="10"/>
      <c r="J534" s="10"/>
      <c r="K534" s="10"/>
      <c r="L534" s="10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9"/>
      <c r="D535" s="10"/>
      <c r="E535" s="10"/>
      <c r="F535" s="10"/>
      <c r="G535" s="10"/>
      <c r="H535" s="10"/>
      <c r="I535" s="10"/>
      <c r="J535" s="10"/>
      <c r="K535" s="10"/>
      <c r="L535" s="10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9"/>
      <c r="D536" s="10"/>
      <c r="E536" s="10"/>
      <c r="F536" s="10"/>
      <c r="G536" s="10"/>
      <c r="H536" s="10"/>
      <c r="I536" s="10"/>
      <c r="J536" s="10"/>
      <c r="K536" s="10"/>
      <c r="L536" s="10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9"/>
      <c r="D537" s="10"/>
      <c r="E537" s="10"/>
      <c r="F537" s="10"/>
      <c r="G537" s="10"/>
      <c r="H537" s="10"/>
      <c r="I537" s="10"/>
      <c r="J537" s="10"/>
      <c r="K537" s="10"/>
      <c r="L537" s="10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9"/>
      <c r="D538" s="10"/>
      <c r="E538" s="10"/>
      <c r="F538" s="10"/>
      <c r="G538" s="10"/>
      <c r="H538" s="10"/>
      <c r="I538" s="10"/>
      <c r="J538" s="10"/>
      <c r="K538" s="10"/>
      <c r="L538" s="10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9"/>
      <c r="D539" s="10"/>
      <c r="E539" s="10"/>
      <c r="F539" s="10"/>
      <c r="G539" s="10"/>
      <c r="H539" s="10"/>
      <c r="I539" s="10"/>
      <c r="J539" s="10"/>
      <c r="K539" s="10"/>
      <c r="L539" s="10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9"/>
      <c r="D540" s="10"/>
      <c r="E540" s="10"/>
      <c r="F540" s="10"/>
      <c r="G540" s="10"/>
      <c r="H540" s="10"/>
      <c r="I540" s="10"/>
      <c r="J540" s="10"/>
      <c r="K540" s="10"/>
      <c r="L540" s="10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9"/>
      <c r="D541" s="10"/>
      <c r="E541" s="10"/>
      <c r="F541" s="10"/>
      <c r="G541" s="10"/>
      <c r="H541" s="10"/>
      <c r="I541" s="10"/>
      <c r="J541" s="10"/>
      <c r="K541" s="10"/>
      <c r="L541" s="10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9"/>
      <c r="D542" s="10"/>
      <c r="E542" s="10"/>
      <c r="F542" s="10"/>
      <c r="G542" s="10"/>
      <c r="H542" s="10"/>
      <c r="I542" s="10"/>
      <c r="J542" s="10"/>
      <c r="K542" s="10"/>
      <c r="L542" s="10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9"/>
      <c r="D543" s="10"/>
      <c r="E543" s="10"/>
      <c r="F543" s="10"/>
      <c r="G543" s="10"/>
      <c r="H543" s="10"/>
      <c r="I543" s="10"/>
      <c r="J543" s="10"/>
      <c r="K543" s="10"/>
      <c r="L543" s="10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9"/>
      <c r="D544" s="10"/>
      <c r="E544" s="10"/>
      <c r="F544" s="10"/>
      <c r="G544" s="10"/>
      <c r="H544" s="10"/>
      <c r="I544" s="10"/>
      <c r="J544" s="10"/>
      <c r="K544" s="10"/>
      <c r="L544" s="10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9"/>
      <c r="D545" s="10"/>
      <c r="E545" s="10"/>
      <c r="F545" s="10"/>
      <c r="G545" s="10"/>
      <c r="H545" s="10"/>
      <c r="I545" s="10"/>
      <c r="J545" s="10"/>
      <c r="K545" s="10"/>
      <c r="L545" s="10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9"/>
      <c r="D546" s="10"/>
      <c r="E546" s="10"/>
      <c r="F546" s="10"/>
      <c r="G546" s="10"/>
      <c r="H546" s="10"/>
      <c r="I546" s="10"/>
      <c r="J546" s="10"/>
      <c r="K546" s="10"/>
      <c r="L546" s="10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9"/>
      <c r="D547" s="10"/>
      <c r="E547" s="10"/>
      <c r="F547" s="10"/>
      <c r="G547" s="10"/>
      <c r="H547" s="10"/>
      <c r="I547" s="10"/>
      <c r="J547" s="10"/>
      <c r="K547" s="10"/>
      <c r="L547" s="10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9"/>
      <c r="D548" s="10"/>
      <c r="E548" s="10"/>
      <c r="F548" s="10"/>
      <c r="G548" s="10"/>
      <c r="H548" s="10"/>
      <c r="I548" s="10"/>
      <c r="J548" s="10"/>
      <c r="K548" s="10"/>
      <c r="L548" s="10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9"/>
      <c r="D549" s="10"/>
      <c r="E549" s="10"/>
      <c r="F549" s="10"/>
      <c r="G549" s="10"/>
      <c r="H549" s="10"/>
      <c r="I549" s="10"/>
      <c r="J549" s="10"/>
      <c r="K549" s="10"/>
      <c r="L549" s="10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9"/>
      <c r="D550" s="10"/>
      <c r="E550" s="10"/>
      <c r="F550" s="10"/>
      <c r="G550" s="10"/>
      <c r="H550" s="10"/>
      <c r="I550" s="10"/>
      <c r="J550" s="10"/>
      <c r="K550" s="10"/>
      <c r="L550" s="10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9"/>
      <c r="D551" s="10"/>
      <c r="E551" s="10"/>
      <c r="F551" s="10"/>
      <c r="G551" s="10"/>
      <c r="H551" s="10"/>
      <c r="I551" s="10"/>
      <c r="J551" s="10"/>
      <c r="K551" s="10"/>
      <c r="L551" s="10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9"/>
      <c r="D552" s="10"/>
      <c r="E552" s="10"/>
      <c r="F552" s="10"/>
      <c r="G552" s="10"/>
      <c r="H552" s="10"/>
      <c r="I552" s="10"/>
      <c r="J552" s="10"/>
      <c r="K552" s="10"/>
      <c r="L552" s="10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9"/>
      <c r="D553" s="10"/>
      <c r="E553" s="10"/>
      <c r="F553" s="10"/>
      <c r="G553" s="10"/>
      <c r="H553" s="10"/>
      <c r="I553" s="10"/>
      <c r="J553" s="10"/>
      <c r="K553" s="10"/>
      <c r="L553" s="10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9"/>
      <c r="D554" s="10"/>
      <c r="E554" s="10"/>
      <c r="F554" s="10"/>
      <c r="G554" s="10"/>
      <c r="H554" s="10"/>
      <c r="I554" s="10"/>
      <c r="J554" s="10"/>
      <c r="K554" s="10"/>
      <c r="L554" s="10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9"/>
      <c r="D555" s="10"/>
      <c r="E555" s="10"/>
      <c r="F555" s="10"/>
      <c r="G555" s="10"/>
      <c r="H555" s="10"/>
      <c r="I555" s="10"/>
      <c r="J555" s="10"/>
      <c r="K555" s="10"/>
      <c r="L555" s="10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9"/>
      <c r="D556" s="10"/>
      <c r="E556" s="10"/>
      <c r="F556" s="10"/>
      <c r="G556" s="10"/>
      <c r="H556" s="10"/>
      <c r="I556" s="10"/>
      <c r="J556" s="10"/>
      <c r="K556" s="10"/>
      <c r="L556" s="10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9"/>
      <c r="D557" s="10"/>
      <c r="E557" s="10"/>
      <c r="F557" s="10"/>
      <c r="G557" s="10"/>
      <c r="H557" s="10"/>
      <c r="I557" s="10"/>
      <c r="J557" s="10"/>
      <c r="K557" s="10"/>
      <c r="L557" s="10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9"/>
      <c r="D558" s="10"/>
      <c r="E558" s="10"/>
      <c r="F558" s="10"/>
      <c r="G558" s="10"/>
      <c r="H558" s="10"/>
      <c r="I558" s="10"/>
      <c r="J558" s="10"/>
      <c r="K558" s="10"/>
      <c r="L558" s="10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9"/>
      <c r="D559" s="10"/>
      <c r="E559" s="10"/>
      <c r="F559" s="10"/>
      <c r="G559" s="10"/>
      <c r="H559" s="10"/>
      <c r="I559" s="10"/>
      <c r="J559" s="10"/>
      <c r="K559" s="10"/>
      <c r="L559" s="10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9"/>
      <c r="D560" s="10"/>
      <c r="E560" s="10"/>
      <c r="F560" s="10"/>
      <c r="G560" s="10"/>
      <c r="H560" s="10"/>
      <c r="I560" s="10"/>
      <c r="J560" s="10"/>
      <c r="K560" s="10"/>
      <c r="L560" s="10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9"/>
      <c r="D561" s="10"/>
      <c r="E561" s="10"/>
      <c r="F561" s="10"/>
      <c r="G561" s="10"/>
      <c r="H561" s="10"/>
      <c r="I561" s="10"/>
      <c r="J561" s="10"/>
      <c r="K561" s="10"/>
      <c r="L561" s="10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9"/>
      <c r="D562" s="10"/>
      <c r="E562" s="10"/>
      <c r="F562" s="10"/>
      <c r="G562" s="10"/>
      <c r="H562" s="10"/>
      <c r="I562" s="10"/>
      <c r="J562" s="10"/>
      <c r="K562" s="10"/>
      <c r="L562" s="10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9"/>
      <c r="D563" s="10"/>
      <c r="E563" s="10"/>
      <c r="F563" s="10"/>
      <c r="G563" s="10"/>
      <c r="H563" s="10"/>
      <c r="I563" s="10"/>
      <c r="J563" s="10"/>
      <c r="K563" s="10"/>
      <c r="L563" s="10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9"/>
      <c r="D564" s="10"/>
      <c r="E564" s="10"/>
      <c r="F564" s="10"/>
      <c r="G564" s="10"/>
      <c r="H564" s="10"/>
      <c r="I564" s="10"/>
      <c r="J564" s="10"/>
      <c r="K564" s="10"/>
      <c r="L564" s="10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9"/>
      <c r="D565" s="10"/>
      <c r="E565" s="10"/>
      <c r="F565" s="10"/>
      <c r="G565" s="10"/>
      <c r="H565" s="10"/>
      <c r="I565" s="10"/>
      <c r="J565" s="10"/>
      <c r="K565" s="10"/>
      <c r="L565" s="10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9"/>
      <c r="D566" s="10"/>
      <c r="E566" s="10"/>
      <c r="F566" s="10"/>
      <c r="G566" s="10"/>
      <c r="H566" s="10"/>
      <c r="I566" s="10"/>
      <c r="J566" s="10"/>
      <c r="K566" s="10"/>
      <c r="L566" s="10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9"/>
      <c r="D567" s="10"/>
      <c r="E567" s="10"/>
      <c r="F567" s="10"/>
      <c r="G567" s="10"/>
      <c r="H567" s="10"/>
      <c r="I567" s="10"/>
      <c r="J567" s="10"/>
      <c r="K567" s="10"/>
      <c r="L567" s="10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9"/>
      <c r="D568" s="10"/>
      <c r="E568" s="10"/>
      <c r="F568" s="10"/>
      <c r="G568" s="10"/>
      <c r="H568" s="10"/>
      <c r="I568" s="10"/>
      <c r="J568" s="10"/>
      <c r="K568" s="10"/>
      <c r="L568" s="10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9"/>
      <c r="D569" s="10"/>
      <c r="E569" s="10"/>
      <c r="F569" s="10"/>
      <c r="G569" s="10"/>
      <c r="H569" s="10"/>
      <c r="I569" s="10"/>
      <c r="J569" s="10"/>
      <c r="K569" s="10"/>
      <c r="L569" s="10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9"/>
      <c r="D570" s="10"/>
      <c r="E570" s="10"/>
      <c r="F570" s="10"/>
      <c r="G570" s="10"/>
      <c r="H570" s="10"/>
      <c r="I570" s="10"/>
      <c r="J570" s="10"/>
      <c r="K570" s="10"/>
      <c r="L570" s="10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9"/>
      <c r="D571" s="10"/>
      <c r="E571" s="10"/>
      <c r="F571" s="10"/>
      <c r="G571" s="10"/>
      <c r="H571" s="10"/>
      <c r="I571" s="10"/>
      <c r="J571" s="10"/>
      <c r="K571" s="10"/>
      <c r="L571" s="10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9"/>
      <c r="D572" s="10"/>
      <c r="E572" s="10"/>
      <c r="F572" s="10"/>
      <c r="G572" s="10"/>
      <c r="H572" s="10"/>
      <c r="I572" s="10"/>
      <c r="J572" s="10"/>
      <c r="K572" s="10"/>
      <c r="L572" s="10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9"/>
      <c r="D573" s="10"/>
      <c r="E573" s="10"/>
      <c r="F573" s="10"/>
      <c r="G573" s="10"/>
      <c r="H573" s="10"/>
      <c r="I573" s="10"/>
      <c r="J573" s="10"/>
      <c r="K573" s="10"/>
      <c r="L573" s="10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9"/>
      <c r="D574" s="10"/>
      <c r="E574" s="10"/>
      <c r="F574" s="10"/>
      <c r="G574" s="10"/>
      <c r="H574" s="10"/>
      <c r="I574" s="10"/>
      <c r="J574" s="10"/>
      <c r="K574" s="10"/>
      <c r="L574" s="10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9"/>
      <c r="D575" s="10"/>
      <c r="E575" s="10"/>
      <c r="F575" s="10"/>
      <c r="G575" s="10"/>
      <c r="H575" s="10"/>
      <c r="I575" s="10"/>
      <c r="J575" s="10"/>
      <c r="K575" s="10"/>
      <c r="L575" s="10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9"/>
      <c r="D576" s="10"/>
      <c r="E576" s="10"/>
      <c r="F576" s="10"/>
      <c r="G576" s="10"/>
      <c r="H576" s="10"/>
      <c r="I576" s="10"/>
      <c r="J576" s="10"/>
      <c r="K576" s="10"/>
      <c r="L576" s="10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9"/>
      <c r="D577" s="10"/>
      <c r="E577" s="10"/>
      <c r="F577" s="10"/>
      <c r="G577" s="10"/>
      <c r="H577" s="10"/>
      <c r="I577" s="10"/>
      <c r="J577" s="10"/>
      <c r="K577" s="10"/>
      <c r="L577" s="10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9"/>
      <c r="D578" s="10"/>
      <c r="E578" s="10"/>
      <c r="F578" s="10"/>
      <c r="G578" s="10"/>
      <c r="H578" s="10"/>
      <c r="I578" s="10"/>
      <c r="J578" s="10"/>
      <c r="K578" s="10"/>
      <c r="L578" s="10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9"/>
      <c r="D579" s="10"/>
      <c r="E579" s="10"/>
      <c r="F579" s="10"/>
      <c r="G579" s="10"/>
      <c r="H579" s="10"/>
      <c r="I579" s="10"/>
      <c r="J579" s="10"/>
      <c r="K579" s="10"/>
      <c r="L579" s="10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9"/>
      <c r="D580" s="10"/>
      <c r="E580" s="10"/>
      <c r="F580" s="10"/>
      <c r="G580" s="10"/>
      <c r="H580" s="10"/>
      <c r="I580" s="10"/>
      <c r="J580" s="10"/>
      <c r="K580" s="10"/>
      <c r="L580" s="10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9"/>
      <c r="D581" s="10"/>
      <c r="E581" s="10"/>
      <c r="F581" s="10"/>
      <c r="G581" s="10"/>
      <c r="H581" s="10"/>
      <c r="I581" s="10"/>
      <c r="J581" s="10"/>
      <c r="K581" s="10"/>
      <c r="L581" s="10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9"/>
      <c r="D582" s="10"/>
      <c r="E582" s="10"/>
      <c r="F582" s="10"/>
      <c r="G582" s="10"/>
      <c r="H582" s="10"/>
      <c r="I582" s="10"/>
      <c r="J582" s="10"/>
      <c r="K582" s="10"/>
      <c r="L582" s="10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9"/>
      <c r="D583" s="10"/>
      <c r="E583" s="10"/>
      <c r="F583" s="10"/>
      <c r="G583" s="10"/>
      <c r="H583" s="10"/>
      <c r="I583" s="10"/>
      <c r="J583" s="10"/>
      <c r="K583" s="10"/>
      <c r="L583" s="10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9"/>
      <c r="D584" s="10"/>
      <c r="E584" s="10"/>
      <c r="F584" s="10"/>
      <c r="G584" s="10"/>
      <c r="H584" s="10"/>
      <c r="I584" s="10"/>
      <c r="J584" s="10"/>
      <c r="K584" s="10"/>
      <c r="L584" s="10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9"/>
      <c r="D585" s="10"/>
      <c r="E585" s="10"/>
      <c r="F585" s="10"/>
      <c r="G585" s="10"/>
      <c r="H585" s="10"/>
      <c r="I585" s="10"/>
      <c r="J585" s="10"/>
      <c r="K585" s="10"/>
      <c r="L585" s="10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9"/>
      <c r="D586" s="10"/>
      <c r="E586" s="10"/>
      <c r="F586" s="10"/>
      <c r="G586" s="10"/>
      <c r="H586" s="10"/>
      <c r="I586" s="10"/>
      <c r="J586" s="10"/>
      <c r="K586" s="10"/>
      <c r="L586" s="10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9"/>
      <c r="D587" s="10"/>
      <c r="E587" s="10"/>
      <c r="F587" s="10"/>
      <c r="G587" s="10"/>
      <c r="H587" s="10"/>
      <c r="I587" s="10"/>
      <c r="J587" s="10"/>
      <c r="K587" s="10"/>
      <c r="L587" s="10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9"/>
      <c r="D588" s="10"/>
      <c r="E588" s="10"/>
      <c r="F588" s="10"/>
      <c r="G588" s="10"/>
      <c r="H588" s="10"/>
      <c r="I588" s="10"/>
      <c r="J588" s="10"/>
      <c r="K588" s="10"/>
      <c r="L588" s="10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9"/>
      <c r="D589" s="10"/>
      <c r="E589" s="10"/>
      <c r="F589" s="10"/>
      <c r="G589" s="10"/>
      <c r="H589" s="10"/>
      <c r="I589" s="10"/>
      <c r="J589" s="10"/>
      <c r="K589" s="10"/>
      <c r="L589" s="10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9"/>
      <c r="D590" s="10"/>
      <c r="E590" s="10"/>
      <c r="F590" s="10"/>
      <c r="G590" s="10"/>
      <c r="H590" s="10"/>
      <c r="I590" s="10"/>
      <c r="J590" s="10"/>
      <c r="K590" s="10"/>
      <c r="L590" s="10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9"/>
      <c r="D591" s="10"/>
      <c r="E591" s="10"/>
      <c r="F591" s="10"/>
      <c r="G591" s="10"/>
      <c r="H591" s="10"/>
      <c r="I591" s="10"/>
      <c r="J591" s="10"/>
      <c r="K591" s="10"/>
      <c r="L591" s="10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9"/>
      <c r="D592" s="10"/>
      <c r="E592" s="10"/>
      <c r="F592" s="10"/>
      <c r="G592" s="10"/>
      <c r="H592" s="10"/>
      <c r="I592" s="10"/>
      <c r="J592" s="10"/>
      <c r="K592" s="10"/>
      <c r="L592" s="10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9"/>
      <c r="D593" s="10"/>
      <c r="E593" s="10"/>
      <c r="F593" s="10"/>
      <c r="G593" s="10"/>
      <c r="H593" s="10"/>
      <c r="I593" s="10"/>
      <c r="J593" s="10"/>
      <c r="K593" s="10"/>
      <c r="L593" s="10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9"/>
      <c r="D594" s="10"/>
      <c r="E594" s="10"/>
      <c r="F594" s="10"/>
      <c r="G594" s="10"/>
      <c r="H594" s="10"/>
      <c r="I594" s="10"/>
      <c r="J594" s="10"/>
      <c r="K594" s="10"/>
      <c r="L594" s="10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9"/>
      <c r="D595" s="10"/>
      <c r="E595" s="10"/>
      <c r="F595" s="10"/>
      <c r="G595" s="10"/>
      <c r="H595" s="10"/>
      <c r="I595" s="10"/>
      <c r="J595" s="10"/>
      <c r="K595" s="10"/>
      <c r="L595" s="10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9"/>
      <c r="D596" s="10"/>
      <c r="E596" s="10"/>
      <c r="F596" s="10"/>
      <c r="G596" s="10"/>
      <c r="H596" s="10"/>
      <c r="I596" s="10"/>
      <c r="J596" s="10"/>
      <c r="K596" s="10"/>
      <c r="L596" s="10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9"/>
      <c r="D597" s="10"/>
      <c r="E597" s="10"/>
      <c r="F597" s="10"/>
      <c r="G597" s="10"/>
      <c r="H597" s="10"/>
      <c r="I597" s="10"/>
      <c r="J597" s="10"/>
      <c r="K597" s="10"/>
      <c r="L597" s="10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9"/>
      <c r="D598" s="10"/>
      <c r="E598" s="10"/>
      <c r="F598" s="10"/>
      <c r="G598" s="10"/>
      <c r="H598" s="10"/>
      <c r="I598" s="10"/>
      <c r="J598" s="10"/>
      <c r="K598" s="10"/>
      <c r="L598" s="10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9"/>
      <c r="D599" s="10"/>
      <c r="E599" s="10"/>
      <c r="F599" s="10"/>
      <c r="G599" s="10"/>
      <c r="H599" s="10"/>
      <c r="I599" s="10"/>
      <c r="J599" s="10"/>
      <c r="K599" s="10"/>
      <c r="L599" s="10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9"/>
      <c r="D600" s="10"/>
      <c r="E600" s="10"/>
      <c r="F600" s="10"/>
      <c r="G600" s="10"/>
      <c r="H600" s="10"/>
      <c r="I600" s="10"/>
      <c r="J600" s="10"/>
      <c r="K600" s="10"/>
      <c r="L600" s="10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9"/>
      <c r="D601" s="10"/>
      <c r="E601" s="10"/>
      <c r="F601" s="10"/>
      <c r="G601" s="10"/>
      <c r="H601" s="10"/>
      <c r="I601" s="10"/>
      <c r="J601" s="10"/>
      <c r="K601" s="10"/>
      <c r="L601" s="10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9"/>
      <c r="D602" s="10"/>
      <c r="E602" s="10"/>
      <c r="F602" s="10"/>
      <c r="G602" s="10"/>
      <c r="H602" s="10"/>
      <c r="I602" s="10"/>
      <c r="J602" s="10"/>
      <c r="K602" s="10"/>
      <c r="L602" s="10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9"/>
      <c r="D603" s="10"/>
      <c r="E603" s="10"/>
      <c r="F603" s="10"/>
      <c r="G603" s="10"/>
      <c r="H603" s="10"/>
      <c r="I603" s="10"/>
      <c r="J603" s="10"/>
      <c r="K603" s="10"/>
      <c r="L603" s="10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9"/>
      <c r="D604" s="10"/>
      <c r="E604" s="10"/>
      <c r="F604" s="10"/>
      <c r="G604" s="10"/>
      <c r="H604" s="10"/>
      <c r="I604" s="10"/>
      <c r="J604" s="10"/>
      <c r="K604" s="10"/>
      <c r="L604" s="10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9"/>
      <c r="D605" s="10"/>
      <c r="E605" s="10"/>
      <c r="F605" s="10"/>
      <c r="G605" s="10"/>
      <c r="H605" s="10"/>
      <c r="I605" s="10"/>
      <c r="J605" s="10"/>
      <c r="K605" s="10"/>
      <c r="L605" s="10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9"/>
      <c r="D606" s="10"/>
      <c r="E606" s="10"/>
      <c r="F606" s="10"/>
      <c r="G606" s="10"/>
      <c r="H606" s="10"/>
      <c r="I606" s="10"/>
      <c r="J606" s="10"/>
      <c r="K606" s="10"/>
      <c r="L606" s="10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9"/>
      <c r="D607" s="10"/>
      <c r="E607" s="10"/>
      <c r="F607" s="10"/>
      <c r="G607" s="10"/>
      <c r="H607" s="10"/>
      <c r="I607" s="10"/>
      <c r="J607" s="10"/>
      <c r="K607" s="10"/>
      <c r="L607" s="10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9"/>
      <c r="D608" s="10"/>
      <c r="E608" s="10"/>
      <c r="F608" s="10"/>
      <c r="G608" s="10"/>
      <c r="H608" s="10"/>
      <c r="I608" s="10"/>
      <c r="J608" s="10"/>
      <c r="K608" s="10"/>
      <c r="L608" s="10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9"/>
      <c r="D609" s="10"/>
      <c r="E609" s="10"/>
      <c r="F609" s="10"/>
      <c r="G609" s="10"/>
      <c r="H609" s="10"/>
      <c r="I609" s="10"/>
      <c r="J609" s="10"/>
      <c r="K609" s="10"/>
      <c r="L609" s="10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9"/>
      <c r="D610" s="10"/>
      <c r="E610" s="10"/>
      <c r="F610" s="10"/>
      <c r="G610" s="10"/>
      <c r="H610" s="10"/>
      <c r="I610" s="10"/>
      <c r="J610" s="10"/>
      <c r="K610" s="10"/>
      <c r="L610" s="10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9"/>
      <c r="D611" s="10"/>
      <c r="E611" s="10"/>
      <c r="F611" s="10"/>
      <c r="G611" s="10"/>
      <c r="H611" s="10"/>
      <c r="I611" s="10"/>
      <c r="J611" s="10"/>
      <c r="K611" s="10"/>
      <c r="L611" s="10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9"/>
      <c r="D612" s="10"/>
      <c r="E612" s="10"/>
      <c r="F612" s="10"/>
      <c r="G612" s="10"/>
      <c r="H612" s="10"/>
      <c r="I612" s="10"/>
      <c r="J612" s="10"/>
      <c r="K612" s="10"/>
      <c r="L612" s="10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9"/>
      <c r="D613" s="10"/>
      <c r="E613" s="10"/>
      <c r="F613" s="10"/>
      <c r="G613" s="10"/>
      <c r="H613" s="10"/>
      <c r="I613" s="10"/>
      <c r="J613" s="10"/>
      <c r="K613" s="10"/>
      <c r="L613" s="10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9"/>
      <c r="D614" s="10"/>
      <c r="E614" s="10"/>
      <c r="F614" s="10"/>
      <c r="G614" s="10"/>
      <c r="H614" s="10"/>
      <c r="I614" s="10"/>
      <c r="J614" s="10"/>
      <c r="K614" s="10"/>
      <c r="L614" s="10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9"/>
      <c r="D615" s="10"/>
      <c r="E615" s="10"/>
      <c r="F615" s="10"/>
      <c r="G615" s="10"/>
      <c r="H615" s="10"/>
      <c r="I615" s="10"/>
      <c r="J615" s="10"/>
      <c r="K615" s="10"/>
      <c r="L615" s="10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9"/>
      <c r="D616" s="10"/>
      <c r="E616" s="10"/>
      <c r="F616" s="10"/>
      <c r="G616" s="10"/>
      <c r="H616" s="10"/>
      <c r="I616" s="10"/>
      <c r="J616" s="10"/>
      <c r="K616" s="10"/>
      <c r="L616" s="10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9"/>
      <c r="D617" s="10"/>
      <c r="E617" s="10"/>
      <c r="F617" s="10"/>
      <c r="G617" s="10"/>
      <c r="H617" s="10"/>
      <c r="I617" s="10"/>
      <c r="J617" s="10"/>
      <c r="K617" s="10"/>
      <c r="L617" s="10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9"/>
      <c r="D618" s="10"/>
      <c r="E618" s="10"/>
      <c r="F618" s="10"/>
      <c r="G618" s="10"/>
      <c r="H618" s="10"/>
      <c r="I618" s="10"/>
      <c r="J618" s="10"/>
      <c r="K618" s="10"/>
      <c r="L618" s="10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9"/>
      <c r="D619" s="10"/>
      <c r="E619" s="10"/>
      <c r="F619" s="10"/>
      <c r="G619" s="10"/>
      <c r="H619" s="10"/>
      <c r="I619" s="10"/>
      <c r="J619" s="10"/>
      <c r="K619" s="10"/>
      <c r="L619" s="10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9"/>
      <c r="D620" s="10"/>
      <c r="E620" s="10"/>
      <c r="F620" s="10"/>
      <c r="G620" s="10"/>
      <c r="H620" s="10"/>
      <c r="I620" s="10"/>
      <c r="J620" s="10"/>
      <c r="K620" s="10"/>
      <c r="L620" s="10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9"/>
      <c r="D621" s="10"/>
      <c r="E621" s="10"/>
      <c r="F621" s="10"/>
      <c r="G621" s="10"/>
      <c r="H621" s="10"/>
      <c r="I621" s="10"/>
      <c r="J621" s="10"/>
      <c r="K621" s="10"/>
      <c r="L621" s="10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9"/>
      <c r="D622" s="10"/>
      <c r="E622" s="10"/>
      <c r="F622" s="10"/>
      <c r="G622" s="10"/>
      <c r="H622" s="10"/>
      <c r="I622" s="10"/>
      <c r="J622" s="10"/>
      <c r="K622" s="10"/>
      <c r="L622" s="10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9"/>
      <c r="D623" s="10"/>
      <c r="E623" s="10"/>
      <c r="F623" s="10"/>
      <c r="G623" s="10"/>
      <c r="H623" s="10"/>
      <c r="I623" s="10"/>
      <c r="J623" s="10"/>
      <c r="K623" s="10"/>
      <c r="L623" s="10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9"/>
      <c r="D624" s="10"/>
      <c r="E624" s="10"/>
      <c r="F624" s="10"/>
      <c r="G624" s="10"/>
      <c r="H624" s="10"/>
      <c r="I624" s="10"/>
      <c r="J624" s="10"/>
      <c r="K624" s="10"/>
      <c r="L624" s="10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9"/>
      <c r="D625" s="10"/>
      <c r="E625" s="10"/>
      <c r="F625" s="10"/>
      <c r="G625" s="10"/>
      <c r="H625" s="10"/>
      <c r="I625" s="10"/>
      <c r="J625" s="10"/>
      <c r="K625" s="10"/>
      <c r="L625" s="10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9"/>
      <c r="D626" s="10"/>
      <c r="E626" s="10"/>
      <c r="F626" s="10"/>
      <c r="G626" s="10"/>
      <c r="H626" s="10"/>
      <c r="I626" s="10"/>
      <c r="J626" s="10"/>
      <c r="K626" s="10"/>
      <c r="L626" s="10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9"/>
      <c r="D627" s="10"/>
      <c r="E627" s="10"/>
      <c r="F627" s="10"/>
      <c r="G627" s="10"/>
      <c r="H627" s="10"/>
      <c r="I627" s="10"/>
      <c r="J627" s="10"/>
      <c r="K627" s="10"/>
      <c r="L627" s="10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9"/>
      <c r="D628" s="10"/>
      <c r="E628" s="10"/>
      <c r="F628" s="10"/>
      <c r="G628" s="10"/>
      <c r="H628" s="10"/>
      <c r="I628" s="10"/>
      <c r="J628" s="10"/>
      <c r="K628" s="10"/>
      <c r="L628" s="10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11"/>
      <c r="D629" s="10"/>
      <c r="E629" s="7"/>
      <c r="F629" s="10"/>
      <c r="G629" s="10"/>
      <c r="H629" s="10"/>
      <c r="I629" s="10"/>
      <c r="J629" s="10"/>
      <c r="K629" s="10"/>
      <c r="L629" s="10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11"/>
      <c r="D630" s="10"/>
      <c r="E630" s="7"/>
      <c r="F630" s="10"/>
      <c r="G630" s="10"/>
      <c r="H630" s="10"/>
      <c r="I630" s="10"/>
      <c r="J630" s="10"/>
      <c r="K630" s="10"/>
      <c r="L630" s="10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11"/>
      <c r="D631" s="10"/>
      <c r="E631" s="7"/>
      <c r="F631" s="10"/>
      <c r="G631" s="10"/>
      <c r="H631" s="10"/>
      <c r="I631" s="10"/>
      <c r="J631" s="10"/>
      <c r="K631" s="10"/>
      <c r="L631" s="10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11"/>
      <c r="D632" s="10"/>
      <c r="E632" s="7"/>
      <c r="F632" s="10"/>
      <c r="G632" s="10"/>
      <c r="H632" s="10"/>
      <c r="I632" s="10"/>
      <c r="J632" s="10"/>
      <c r="K632" s="10"/>
      <c r="L632" s="10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11"/>
      <c r="D633" s="10"/>
      <c r="E633" s="7"/>
      <c r="F633" s="10"/>
      <c r="G633" s="10"/>
      <c r="H633" s="10"/>
      <c r="I633" s="10"/>
      <c r="J633" s="10"/>
      <c r="K633" s="10"/>
      <c r="L633" s="10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11"/>
      <c r="D634" s="10"/>
      <c r="E634" s="7"/>
      <c r="F634" s="10"/>
      <c r="G634" s="10"/>
      <c r="H634" s="10"/>
      <c r="I634" s="10"/>
      <c r="J634" s="10"/>
      <c r="K634" s="10"/>
      <c r="L634" s="10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11"/>
      <c r="D635" s="10"/>
      <c r="E635" s="7"/>
      <c r="F635" s="10"/>
      <c r="G635" s="10"/>
      <c r="H635" s="10"/>
      <c r="I635" s="10"/>
      <c r="J635" s="10"/>
      <c r="K635" s="10"/>
      <c r="L635" s="10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11"/>
      <c r="D636" s="10"/>
      <c r="E636" s="7"/>
      <c r="F636" s="10"/>
      <c r="G636" s="10"/>
      <c r="H636" s="10"/>
      <c r="I636" s="10"/>
      <c r="J636" s="10"/>
      <c r="K636" s="10"/>
      <c r="L636" s="10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11"/>
      <c r="D637" s="10"/>
      <c r="E637" s="7"/>
      <c r="F637" s="10"/>
      <c r="G637" s="10"/>
      <c r="H637" s="10"/>
      <c r="I637" s="10"/>
      <c r="J637" s="10"/>
      <c r="K637" s="10"/>
      <c r="L637" s="10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11"/>
      <c r="D638" s="10"/>
      <c r="E638" s="7"/>
      <c r="F638" s="10"/>
      <c r="G638" s="10"/>
      <c r="H638" s="10"/>
      <c r="I638" s="10"/>
      <c r="J638" s="10"/>
      <c r="K638" s="10"/>
      <c r="L638" s="10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11"/>
      <c r="D639" s="10"/>
      <c r="E639" s="7"/>
      <c r="F639" s="10"/>
      <c r="G639" s="10"/>
      <c r="H639" s="10"/>
      <c r="I639" s="10"/>
      <c r="J639" s="10"/>
      <c r="K639" s="10"/>
      <c r="L639" s="10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11"/>
      <c r="D640" s="10"/>
      <c r="E640" s="7"/>
      <c r="F640" s="10"/>
      <c r="G640" s="10"/>
      <c r="H640" s="10"/>
      <c r="I640" s="10"/>
      <c r="J640" s="10"/>
      <c r="K640" s="10"/>
      <c r="L640" s="10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11"/>
      <c r="D641" s="10"/>
      <c r="E641" s="7"/>
      <c r="F641" s="10"/>
      <c r="G641" s="10"/>
      <c r="H641" s="10"/>
      <c r="I641" s="10"/>
      <c r="J641" s="10"/>
      <c r="K641" s="10"/>
      <c r="L641" s="10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11"/>
      <c r="D642" s="10"/>
      <c r="E642" s="7"/>
      <c r="F642" s="10"/>
      <c r="G642" s="10"/>
      <c r="H642" s="10"/>
      <c r="I642" s="10"/>
      <c r="J642" s="10"/>
      <c r="K642" s="10"/>
      <c r="L642" s="10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11"/>
      <c r="D643" s="10"/>
      <c r="E643" s="7"/>
      <c r="F643" s="10"/>
      <c r="G643" s="10"/>
      <c r="H643" s="10"/>
      <c r="I643" s="10"/>
      <c r="J643" s="10"/>
      <c r="K643" s="10"/>
      <c r="L643" s="10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11"/>
      <c r="D644" s="10"/>
      <c r="E644" s="7"/>
      <c r="F644" s="10"/>
      <c r="G644" s="10"/>
      <c r="H644" s="10"/>
      <c r="I644" s="10"/>
      <c r="J644" s="10"/>
      <c r="K644" s="10"/>
      <c r="L644" s="10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11"/>
      <c r="D645" s="10"/>
      <c r="E645" s="7"/>
      <c r="F645" s="10"/>
      <c r="G645" s="10"/>
      <c r="H645" s="10"/>
      <c r="I645" s="10"/>
      <c r="J645" s="10"/>
      <c r="K645" s="10"/>
      <c r="L645" s="10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11"/>
      <c r="D646" s="10"/>
      <c r="E646" s="7"/>
      <c r="F646" s="10"/>
      <c r="G646" s="10"/>
      <c r="H646" s="10"/>
      <c r="I646" s="10"/>
      <c r="J646" s="10"/>
      <c r="K646" s="10"/>
      <c r="L646" s="10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11"/>
      <c r="D647" s="10"/>
      <c r="E647" s="7"/>
      <c r="F647" s="10"/>
      <c r="G647" s="10"/>
      <c r="H647" s="10"/>
      <c r="I647" s="10"/>
      <c r="J647" s="10"/>
      <c r="K647" s="10"/>
      <c r="L647" s="10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11"/>
      <c r="D648" s="10"/>
      <c r="E648" s="7"/>
      <c r="F648" s="10"/>
      <c r="G648" s="10"/>
      <c r="H648" s="10"/>
      <c r="I648" s="10"/>
      <c r="J648" s="10"/>
      <c r="K648" s="10"/>
      <c r="L648" s="10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11"/>
      <c r="D649" s="10"/>
      <c r="E649" s="7"/>
      <c r="F649" s="10"/>
      <c r="G649" s="10"/>
      <c r="H649" s="10"/>
      <c r="I649" s="10"/>
      <c r="J649" s="10"/>
      <c r="K649" s="10"/>
      <c r="L649" s="10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11"/>
      <c r="D650" s="10"/>
      <c r="E650" s="7"/>
      <c r="F650" s="10"/>
      <c r="G650" s="10"/>
      <c r="H650" s="10"/>
      <c r="I650" s="10"/>
      <c r="J650" s="10"/>
      <c r="K650" s="10"/>
      <c r="L650" s="10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11"/>
      <c r="D651" s="10"/>
      <c r="E651" s="7"/>
      <c r="F651" s="10"/>
      <c r="G651" s="10"/>
      <c r="H651" s="10"/>
      <c r="I651" s="10"/>
      <c r="J651" s="10"/>
      <c r="K651" s="10"/>
      <c r="L651" s="10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11"/>
      <c r="D652" s="10"/>
      <c r="E652" s="7"/>
      <c r="F652" s="10"/>
      <c r="G652" s="10"/>
      <c r="H652" s="10"/>
      <c r="I652" s="10"/>
      <c r="J652" s="10"/>
      <c r="K652" s="10"/>
      <c r="L652" s="10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11"/>
      <c r="D653" s="10"/>
      <c r="E653" s="7"/>
      <c r="F653" s="10"/>
      <c r="G653" s="10"/>
      <c r="H653" s="10"/>
      <c r="I653" s="10"/>
      <c r="J653" s="10"/>
      <c r="K653" s="10"/>
      <c r="L653" s="10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11"/>
      <c r="D654" s="10"/>
      <c r="E654" s="7"/>
      <c r="F654" s="10"/>
      <c r="G654" s="10"/>
      <c r="H654" s="10"/>
      <c r="I654" s="10"/>
      <c r="J654" s="10"/>
      <c r="K654" s="10"/>
      <c r="L654" s="10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11"/>
      <c r="D655" s="10"/>
      <c r="E655" s="7"/>
      <c r="F655" s="10"/>
      <c r="G655" s="10"/>
      <c r="H655" s="10"/>
      <c r="I655" s="10"/>
      <c r="J655" s="10"/>
      <c r="K655" s="10"/>
      <c r="L655" s="10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11"/>
      <c r="D656" s="10"/>
      <c r="E656" s="7"/>
      <c r="F656" s="10"/>
      <c r="G656" s="10"/>
      <c r="H656" s="10"/>
      <c r="I656" s="10"/>
      <c r="J656" s="10"/>
      <c r="K656" s="10"/>
      <c r="L656" s="10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11"/>
      <c r="D657" s="10"/>
      <c r="E657" s="7"/>
      <c r="F657" s="10"/>
      <c r="G657" s="10"/>
      <c r="H657" s="10"/>
      <c r="I657" s="10"/>
      <c r="J657" s="10"/>
      <c r="K657" s="10"/>
      <c r="L657" s="10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11"/>
      <c r="D658" s="10"/>
      <c r="E658" s="7"/>
      <c r="F658" s="10"/>
      <c r="G658" s="10"/>
      <c r="H658" s="10"/>
      <c r="I658" s="10"/>
      <c r="J658" s="10"/>
      <c r="K658" s="10"/>
      <c r="L658" s="10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11"/>
      <c r="D659" s="10"/>
      <c r="E659" s="7"/>
      <c r="F659" s="10"/>
      <c r="G659" s="10"/>
      <c r="H659" s="10"/>
      <c r="I659" s="10"/>
      <c r="J659" s="10"/>
      <c r="K659" s="10"/>
      <c r="L659" s="10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11"/>
      <c r="D660" s="10"/>
      <c r="E660" s="7"/>
      <c r="F660" s="10"/>
      <c r="G660" s="10"/>
      <c r="H660" s="10"/>
      <c r="I660" s="10"/>
      <c r="J660" s="10"/>
      <c r="K660" s="10"/>
      <c r="L660" s="10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11"/>
      <c r="D661" s="10"/>
      <c r="E661" s="7"/>
      <c r="F661" s="10"/>
      <c r="G661" s="10"/>
      <c r="H661" s="10"/>
      <c r="I661" s="10"/>
      <c r="J661" s="10"/>
      <c r="K661" s="10"/>
      <c r="L661" s="10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11"/>
      <c r="D662" s="10"/>
      <c r="E662" s="7"/>
      <c r="F662" s="10"/>
      <c r="G662" s="10"/>
      <c r="H662" s="10"/>
      <c r="I662" s="10"/>
      <c r="J662" s="10"/>
      <c r="K662" s="10"/>
      <c r="L662" s="10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11"/>
      <c r="D663" s="10"/>
      <c r="E663" s="7"/>
      <c r="F663" s="10"/>
      <c r="G663" s="10"/>
      <c r="H663" s="10"/>
      <c r="I663" s="10"/>
      <c r="J663" s="10"/>
      <c r="K663" s="10"/>
      <c r="L663" s="10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11"/>
      <c r="D664" s="10"/>
      <c r="E664" s="7"/>
      <c r="F664" s="10"/>
      <c r="G664" s="10"/>
      <c r="H664" s="10"/>
      <c r="I664" s="10"/>
      <c r="J664" s="10"/>
      <c r="K664" s="10"/>
      <c r="L664" s="10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11"/>
      <c r="D665" s="10"/>
      <c r="E665" s="7"/>
      <c r="F665" s="10"/>
      <c r="G665" s="10"/>
      <c r="H665" s="10"/>
      <c r="I665" s="10"/>
      <c r="J665" s="10"/>
      <c r="K665" s="10"/>
      <c r="L665" s="10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11"/>
      <c r="D666" s="10"/>
      <c r="E666" s="7"/>
      <c r="F666" s="10"/>
      <c r="G666" s="10"/>
      <c r="H666" s="10"/>
      <c r="I666" s="10"/>
      <c r="J666" s="10"/>
      <c r="K666" s="10"/>
      <c r="L666" s="10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11"/>
      <c r="D667" s="10"/>
      <c r="E667" s="7"/>
      <c r="F667" s="10"/>
      <c r="G667" s="10"/>
      <c r="H667" s="10"/>
      <c r="I667" s="10"/>
      <c r="J667" s="10"/>
      <c r="K667" s="10"/>
      <c r="L667" s="10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11"/>
      <c r="D668" s="10"/>
      <c r="E668" s="7"/>
      <c r="F668" s="10"/>
      <c r="G668" s="10"/>
      <c r="H668" s="10"/>
      <c r="I668" s="10"/>
      <c r="J668" s="10"/>
      <c r="K668" s="10"/>
      <c r="L668" s="10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11"/>
      <c r="D669" s="10"/>
      <c r="E669" s="7"/>
      <c r="F669" s="10"/>
      <c r="G669" s="10"/>
      <c r="H669" s="10"/>
      <c r="I669" s="10"/>
      <c r="J669" s="10"/>
      <c r="K669" s="10"/>
      <c r="L669" s="10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11"/>
      <c r="D670" s="10"/>
      <c r="E670" s="7"/>
      <c r="F670" s="10"/>
      <c r="G670" s="10"/>
      <c r="H670" s="10"/>
      <c r="I670" s="10"/>
      <c r="J670" s="10"/>
      <c r="K670" s="10"/>
      <c r="L670" s="10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11"/>
      <c r="D671" s="10"/>
      <c r="E671" s="7"/>
      <c r="F671" s="10"/>
      <c r="G671" s="10"/>
      <c r="H671" s="10"/>
      <c r="I671" s="10"/>
      <c r="J671" s="10"/>
      <c r="K671" s="10"/>
      <c r="L671" s="10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11"/>
      <c r="D672" s="10"/>
      <c r="E672" s="7"/>
      <c r="F672" s="10"/>
      <c r="G672" s="10"/>
      <c r="H672" s="10"/>
      <c r="I672" s="10"/>
      <c r="J672" s="10"/>
      <c r="K672" s="10"/>
      <c r="L672" s="10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11"/>
      <c r="D673" s="10"/>
      <c r="E673" s="7"/>
      <c r="F673" s="10"/>
      <c r="G673" s="10"/>
      <c r="H673" s="10"/>
      <c r="I673" s="10"/>
      <c r="J673" s="10"/>
      <c r="K673" s="10"/>
      <c r="L673" s="10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11"/>
      <c r="D674" s="10"/>
      <c r="E674" s="7"/>
      <c r="F674" s="10"/>
      <c r="G674" s="10"/>
      <c r="H674" s="10"/>
      <c r="I674" s="10"/>
      <c r="J674" s="10"/>
      <c r="K674" s="10"/>
      <c r="L674" s="10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11"/>
      <c r="D675" s="10"/>
      <c r="E675" s="7"/>
      <c r="F675" s="10"/>
      <c r="G675" s="10"/>
      <c r="H675" s="10"/>
      <c r="I675" s="10"/>
      <c r="J675" s="10"/>
      <c r="K675" s="10"/>
      <c r="L675" s="10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11"/>
      <c r="D676" s="10"/>
      <c r="E676" s="7"/>
      <c r="F676" s="10"/>
      <c r="G676" s="10"/>
      <c r="H676" s="10"/>
      <c r="I676" s="10"/>
      <c r="J676" s="10"/>
      <c r="K676" s="10"/>
      <c r="L676" s="10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11"/>
      <c r="D677" s="10"/>
      <c r="E677" s="7"/>
      <c r="F677" s="10"/>
      <c r="G677" s="10"/>
      <c r="H677" s="10"/>
      <c r="I677" s="10"/>
      <c r="J677" s="10"/>
      <c r="K677" s="10"/>
      <c r="L677" s="10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11"/>
      <c r="D678" s="10"/>
      <c r="E678" s="7"/>
      <c r="F678" s="10"/>
      <c r="G678" s="10"/>
      <c r="H678" s="10"/>
      <c r="I678" s="10"/>
      <c r="J678" s="10"/>
      <c r="K678" s="10"/>
      <c r="L678" s="10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11"/>
      <c r="D679" s="10"/>
      <c r="E679" s="7"/>
      <c r="F679" s="10"/>
      <c r="G679" s="10"/>
      <c r="H679" s="10"/>
      <c r="I679" s="10"/>
      <c r="J679" s="10"/>
      <c r="K679" s="10"/>
      <c r="L679" s="10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11"/>
      <c r="D680" s="10"/>
      <c r="E680" s="7"/>
      <c r="F680" s="10"/>
      <c r="G680" s="10"/>
      <c r="H680" s="10"/>
      <c r="I680" s="10"/>
      <c r="J680" s="10"/>
      <c r="K680" s="10"/>
      <c r="L680" s="10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11"/>
      <c r="D681" s="10"/>
      <c r="E681" s="7"/>
      <c r="F681" s="10"/>
      <c r="G681" s="10"/>
      <c r="H681" s="10"/>
      <c r="I681" s="10"/>
      <c r="J681" s="10"/>
      <c r="K681" s="10"/>
      <c r="L681" s="10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11"/>
      <c r="D682" s="10"/>
      <c r="E682" s="7"/>
      <c r="F682" s="10"/>
      <c r="G682" s="10"/>
      <c r="H682" s="10"/>
      <c r="I682" s="10"/>
      <c r="J682" s="10"/>
      <c r="K682" s="10"/>
      <c r="L682" s="10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11"/>
      <c r="D683" s="10"/>
      <c r="E683" s="7"/>
      <c r="F683" s="10"/>
      <c r="G683" s="10"/>
      <c r="H683" s="10"/>
      <c r="I683" s="10"/>
      <c r="J683" s="10"/>
      <c r="K683" s="10"/>
      <c r="L683" s="10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11"/>
      <c r="D684" s="10"/>
      <c r="E684" s="7"/>
      <c r="F684" s="10"/>
      <c r="G684" s="10"/>
      <c r="H684" s="10"/>
      <c r="I684" s="10"/>
      <c r="J684" s="10"/>
      <c r="K684" s="10"/>
      <c r="L684" s="10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11"/>
      <c r="D685" s="10"/>
      <c r="E685" s="7"/>
      <c r="F685" s="10"/>
      <c r="G685" s="10"/>
      <c r="H685" s="10"/>
      <c r="I685" s="10"/>
      <c r="J685" s="10"/>
      <c r="K685" s="10"/>
      <c r="L685" s="10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11"/>
      <c r="D686" s="10"/>
      <c r="E686" s="7"/>
      <c r="F686" s="10"/>
      <c r="G686" s="10"/>
      <c r="H686" s="10"/>
      <c r="I686" s="10"/>
      <c r="J686" s="10"/>
      <c r="K686" s="10"/>
      <c r="L686" s="10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11"/>
      <c r="D687" s="10"/>
      <c r="E687" s="7"/>
      <c r="F687" s="10"/>
      <c r="G687" s="10"/>
      <c r="H687" s="10"/>
      <c r="I687" s="10"/>
      <c r="J687" s="10"/>
      <c r="K687" s="10"/>
      <c r="L687" s="10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11"/>
      <c r="D688" s="10"/>
      <c r="E688" s="7"/>
      <c r="F688" s="10"/>
      <c r="G688" s="10"/>
      <c r="H688" s="10"/>
      <c r="I688" s="10"/>
      <c r="J688" s="10"/>
      <c r="K688" s="10"/>
      <c r="L688" s="10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11"/>
      <c r="D689" s="10"/>
      <c r="E689" s="7"/>
      <c r="F689" s="10"/>
      <c r="G689" s="10"/>
      <c r="H689" s="10"/>
      <c r="I689" s="10"/>
      <c r="J689" s="10"/>
      <c r="K689" s="10"/>
      <c r="L689" s="10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11"/>
      <c r="D690" s="10"/>
      <c r="E690" s="7"/>
      <c r="F690" s="10"/>
      <c r="G690" s="10"/>
      <c r="H690" s="10"/>
      <c r="I690" s="10"/>
      <c r="J690" s="10"/>
      <c r="K690" s="10"/>
      <c r="L690" s="10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11"/>
      <c r="D691" s="10"/>
      <c r="E691" s="7"/>
      <c r="F691" s="10"/>
      <c r="G691" s="10"/>
      <c r="H691" s="10"/>
      <c r="I691" s="10"/>
      <c r="J691" s="10"/>
      <c r="K691" s="10"/>
      <c r="L691" s="10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11"/>
      <c r="D692" s="10"/>
      <c r="E692" s="7"/>
      <c r="F692" s="10"/>
      <c r="G692" s="10"/>
      <c r="H692" s="10"/>
      <c r="I692" s="10"/>
      <c r="J692" s="10"/>
      <c r="K692" s="10"/>
      <c r="L692" s="10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11"/>
      <c r="D693" s="10"/>
      <c r="E693" s="7"/>
      <c r="F693" s="10"/>
      <c r="G693" s="10"/>
      <c r="H693" s="10"/>
      <c r="I693" s="10"/>
      <c r="J693" s="10"/>
      <c r="K693" s="10"/>
      <c r="L693" s="10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11"/>
      <c r="D694" s="10"/>
      <c r="E694" s="7"/>
      <c r="F694" s="10"/>
      <c r="G694" s="10"/>
      <c r="H694" s="10"/>
      <c r="I694" s="10"/>
      <c r="J694" s="10"/>
      <c r="K694" s="10"/>
      <c r="L694" s="10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11"/>
      <c r="D695" s="10"/>
      <c r="E695" s="7"/>
      <c r="F695" s="10"/>
      <c r="G695" s="10"/>
      <c r="H695" s="10"/>
      <c r="I695" s="10"/>
      <c r="J695" s="10"/>
      <c r="K695" s="10"/>
      <c r="L695" s="10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11"/>
      <c r="D696" s="10"/>
      <c r="E696" s="7"/>
      <c r="F696" s="10"/>
      <c r="G696" s="10"/>
      <c r="H696" s="10"/>
      <c r="I696" s="10"/>
      <c r="J696" s="10"/>
      <c r="K696" s="10"/>
      <c r="L696" s="10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11"/>
      <c r="D697" s="10"/>
      <c r="E697" s="7"/>
      <c r="F697" s="10"/>
      <c r="G697" s="10"/>
      <c r="H697" s="10"/>
      <c r="I697" s="10"/>
      <c r="J697" s="10"/>
      <c r="K697" s="10"/>
      <c r="L697" s="10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11"/>
      <c r="D698" s="10"/>
      <c r="E698" s="7"/>
      <c r="F698" s="10"/>
      <c r="G698" s="10"/>
      <c r="H698" s="10"/>
      <c r="I698" s="10"/>
      <c r="J698" s="10"/>
      <c r="K698" s="10"/>
      <c r="L698" s="10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11"/>
      <c r="D699" s="10"/>
      <c r="E699" s="7"/>
      <c r="F699" s="10"/>
      <c r="G699" s="10"/>
      <c r="H699" s="10"/>
      <c r="I699" s="10"/>
      <c r="J699" s="10"/>
      <c r="K699" s="10"/>
      <c r="L699" s="10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11"/>
      <c r="D700" s="10"/>
      <c r="E700" s="7"/>
      <c r="F700" s="10"/>
      <c r="G700" s="10"/>
      <c r="H700" s="10"/>
      <c r="I700" s="10"/>
      <c r="J700" s="10"/>
      <c r="K700" s="10"/>
      <c r="L700" s="10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11"/>
      <c r="D701" s="10"/>
      <c r="E701" s="7"/>
      <c r="F701" s="10"/>
      <c r="G701" s="10"/>
      <c r="H701" s="10"/>
      <c r="I701" s="10"/>
      <c r="J701" s="10"/>
      <c r="K701" s="10"/>
      <c r="L701" s="10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11"/>
      <c r="D702" s="10"/>
      <c r="E702" s="7"/>
      <c r="F702" s="10"/>
      <c r="G702" s="10"/>
      <c r="H702" s="10"/>
      <c r="I702" s="10"/>
      <c r="J702" s="10"/>
      <c r="K702" s="10"/>
      <c r="L702" s="10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11"/>
      <c r="D703" s="10"/>
      <c r="E703" s="7"/>
      <c r="F703" s="10"/>
      <c r="G703" s="10"/>
      <c r="H703" s="10"/>
      <c r="I703" s="10"/>
      <c r="J703" s="10"/>
      <c r="K703" s="10"/>
      <c r="L703" s="10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11"/>
      <c r="D704" s="10"/>
      <c r="E704" s="7"/>
      <c r="F704" s="10"/>
      <c r="G704" s="10"/>
      <c r="H704" s="10"/>
      <c r="I704" s="10"/>
      <c r="J704" s="10"/>
      <c r="K704" s="10"/>
      <c r="L704" s="10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11"/>
      <c r="D705" s="10"/>
      <c r="E705" s="7"/>
      <c r="F705" s="10"/>
      <c r="G705" s="10"/>
      <c r="H705" s="10"/>
      <c r="I705" s="10"/>
      <c r="J705" s="10"/>
      <c r="K705" s="10"/>
      <c r="L705" s="10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11"/>
      <c r="D706" s="10"/>
      <c r="E706" s="7"/>
      <c r="F706" s="10"/>
      <c r="G706" s="10"/>
      <c r="H706" s="10"/>
      <c r="I706" s="10"/>
      <c r="J706" s="10"/>
      <c r="K706" s="10"/>
      <c r="L706" s="10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11"/>
      <c r="D707" s="10"/>
      <c r="E707" s="7"/>
      <c r="F707" s="10"/>
      <c r="G707" s="10"/>
      <c r="H707" s="10"/>
      <c r="I707" s="10"/>
      <c r="J707" s="10"/>
      <c r="K707" s="10"/>
      <c r="L707" s="10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11"/>
      <c r="D708" s="10"/>
      <c r="E708" s="7"/>
      <c r="F708" s="10"/>
      <c r="G708" s="10"/>
      <c r="H708" s="10"/>
      <c r="I708" s="10"/>
      <c r="J708" s="10"/>
      <c r="K708" s="10"/>
      <c r="L708" s="10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11"/>
      <c r="D709" s="10"/>
      <c r="E709" s="7"/>
      <c r="F709" s="10"/>
      <c r="G709" s="10"/>
      <c r="H709" s="10"/>
      <c r="I709" s="10"/>
      <c r="J709" s="10"/>
      <c r="K709" s="10"/>
      <c r="L709" s="10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11"/>
      <c r="D710" s="10"/>
      <c r="E710" s="7"/>
      <c r="F710" s="10"/>
      <c r="G710" s="10"/>
      <c r="H710" s="10"/>
      <c r="I710" s="10"/>
      <c r="J710" s="10"/>
      <c r="K710" s="10"/>
      <c r="L710" s="10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11"/>
      <c r="D711" s="10"/>
      <c r="E711" s="7"/>
      <c r="F711" s="10"/>
      <c r="G711" s="10"/>
      <c r="H711" s="10"/>
      <c r="I711" s="10"/>
      <c r="J711" s="10"/>
      <c r="K711" s="10"/>
      <c r="L711" s="10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11"/>
      <c r="D712" s="10"/>
      <c r="E712" s="7"/>
      <c r="F712" s="10"/>
      <c r="G712" s="10"/>
      <c r="H712" s="10"/>
      <c r="I712" s="10"/>
      <c r="J712" s="10"/>
      <c r="K712" s="10"/>
      <c r="L712" s="10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11"/>
      <c r="D713" s="10"/>
      <c r="E713" s="7"/>
      <c r="F713" s="10"/>
      <c r="G713" s="10"/>
      <c r="H713" s="10"/>
      <c r="I713" s="10"/>
      <c r="J713" s="10"/>
      <c r="K713" s="10"/>
      <c r="L713" s="10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11"/>
      <c r="D714" s="10"/>
      <c r="E714" s="7"/>
      <c r="F714" s="10"/>
      <c r="G714" s="10"/>
      <c r="H714" s="10"/>
      <c r="I714" s="10"/>
      <c r="J714" s="10"/>
      <c r="K714" s="10"/>
      <c r="L714" s="10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11"/>
      <c r="D715" s="10"/>
      <c r="E715" s="7"/>
      <c r="F715" s="10"/>
      <c r="G715" s="10"/>
      <c r="H715" s="10"/>
      <c r="I715" s="10"/>
      <c r="J715" s="10"/>
      <c r="K715" s="10"/>
      <c r="L715" s="10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11"/>
      <c r="D716" s="10"/>
      <c r="E716" s="7"/>
      <c r="F716" s="10"/>
      <c r="G716" s="10"/>
      <c r="H716" s="10"/>
      <c r="I716" s="10"/>
      <c r="J716" s="10"/>
      <c r="K716" s="10"/>
      <c r="L716" s="10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11"/>
      <c r="D717" s="10"/>
      <c r="E717" s="7"/>
      <c r="F717" s="10"/>
      <c r="G717" s="10"/>
      <c r="H717" s="10"/>
      <c r="I717" s="10"/>
      <c r="J717" s="10"/>
      <c r="K717" s="10"/>
      <c r="L717" s="10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11"/>
      <c r="D718" s="10"/>
      <c r="E718" s="7"/>
      <c r="F718" s="10"/>
      <c r="G718" s="10"/>
      <c r="H718" s="10"/>
      <c r="I718" s="10"/>
      <c r="J718" s="10"/>
      <c r="K718" s="10"/>
      <c r="L718" s="10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11"/>
      <c r="D719" s="10"/>
      <c r="E719" s="7"/>
      <c r="F719" s="10"/>
      <c r="G719" s="10"/>
      <c r="H719" s="10"/>
      <c r="I719" s="10"/>
      <c r="J719" s="10"/>
      <c r="K719" s="10"/>
      <c r="L719" s="10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11"/>
      <c r="D720" s="10"/>
      <c r="E720" s="7"/>
      <c r="F720" s="10"/>
      <c r="G720" s="10"/>
      <c r="H720" s="10"/>
      <c r="I720" s="10"/>
      <c r="J720" s="10"/>
      <c r="K720" s="10"/>
      <c r="L720" s="10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11"/>
      <c r="D721" s="10"/>
      <c r="E721" s="7"/>
      <c r="F721" s="10"/>
      <c r="G721" s="10"/>
      <c r="H721" s="10"/>
      <c r="I721" s="10"/>
      <c r="J721" s="10"/>
      <c r="K721" s="10"/>
      <c r="L721" s="10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11"/>
      <c r="D722" s="10"/>
      <c r="E722" s="7"/>
      <c r="F722" s="10"/>
      <c r="G722" s="10"/>
      <c r="H722" s="10"/>
      <c r="I722" s="10"/>
      <c r="J722" s="10"/>
      <c r="K722" s="10"/>
      <c r="L722" s="10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11"/>
      <c r="D723" s="10"/>
      <c r="E723" s="7"/>
      <c r="F723" s="10"/>
      <c r="G723" s="10"/>
      <c r="H723" s="10"/>
      <c r="I723" s="10"/>
      <c r="J723" s="10"/>
      <c r="K723" s="10"/>
      <c r="L723" s="10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11"/>
      <c r="D724" s="10"/>
      <c r="E724" s="7"/>
      <c r="F724" s="10"/>
      <c r="G724" s="10"/>
      <c r="H724" s="10"/>
      <c r="I724" s="10"/>
      <c r="J724" s="10"/>
      <c r="K724" s="10"/>
      <c r="L724" s="10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11"/>
      <c r="D725" s="10"/>
      <c r="E725" s="7"/>
      <c r="F725" s="10"/>
      <c r="G725" s="10"/>
      <c r="H725" s="10"/>
      <c r="I725" s="10"/>
      <c r="J725" s="10"/>
      <c r="K725" s="10"/>
      <c r="L725" s="10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11"/>
      <c r="D726" s="10"/>
      <c r="E726" s="7"/>
      <c r="F726" s="10"/>
      <c r="G726" s="10"/>
      <c r="H726" s="10"/>
      <c r="I726" s="10"/>
      <c r="J726" s="10"/>
      <c r="K726" s="10"/>
      <c r="L726" s="10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11"/>
      <c r="D727" s="10"/>
      <c r="E727" s="7"/>
      <c r="F727" s="10"/>
      <c r="G727" s="10"/>
      <c r="H727" s="10"/>
      <c r="I727" s="10"/>
      <c r="J727" s="10"/>
      <c r="K727" s="10"/>
      <c r="L727" s="10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11"/>
      <c r="D728" s="10"/>
      <c r="E728" s="7"/>
      <c r="F728" s="10"/>
      <c r="G728" s="10"/>
      <c r="H728" s="10"/>
      <c r="I728" s="10"/>
      <c r="J728" s="10"/>
      <c r="K728" s="10"/>
      <c r="L728" s="10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11"/>
      <c r="D729" s="10"/>
      <c r="E729" s="7"/>
      <c r="F729" s="10"/>
      <c r="G729" s="10"/>
      <c r="H729" s="10"/>
      <c r="I729" s="10"/>
      <c r="J729" s="10"/>
      <c r="K729" s="10"/>
      <c r="L729" s="10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11"/>
      <c r="D730" s="10"/>
      <c r="E730" s="7"/>
      <c r="F730" s="10"/>
      <c r="G730" s="10"/>
      <c r="H730" s="10"/>
      <c r="I730" s="10"/>
      <c r="J730" s="10"/>
      <c r="K730" s="10"/>
      <c r="L730" s="10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11"/>
      <c r="D731" s="10"/>
      <c r="E731" s="7"/>
      <c r="F731" s="10"/>
      <c r="G731" s="10"/>
      <c r="H731" s="10"/>
      <c r="I731" s="10"/>
      <c r="J731" s="10"/>
      <c r="K731" s="10"/>
      <c r="L731" s="10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11"/>
      <c r="D732" s="10"/>
      <c r="E732" s="7"/>
      <c r="F732" s="10"/>
      <c r="G732" s="10"/>
      <c r="H732" s="10"/>
      <c r="I732" s="10"/>
      <c r="J732" s="10"/>
      <c r="K732" s="10"/>
      <c r="L732" s="10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11"/>
      <c r="D733" s="10"/>
      <c r="E733" s="7"/>
      <c r="F733" s="10"/>
      <c r="G733" s="10"/>
      <c r="H733" s="10"/>
      <c r="I733" s="10"/>
      <c r="J733" s="10"/>
      <c r="K733" s="10"/>
      <c r="L733" s="10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11"/>
      <c r="D734" s="10"/>
      <c r="E734" s="7"/>
      <c r="F734" s="10"/>
      <c r="G734" s="10"/>
      <c r="H734" s="10"/>
      <c r="I734" s="10"/>
      <c r="J734" s="10"/>
      <c r="K734" s="10"/>
      <c r="L734" s="10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11"/>
      <c r="D735" s="10"/>
      <c r="E735" s="7"/>
      <c r="F735" s="10"/>
      <c r="G735" s="10"/>
      <c r="H735" s="10"/>
      <c r="I735" s="10"/>
      <c r="J735" s="10"/>
      <c r="K735" s="10"/>
      <c r="L735" s="10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11"/>
      <c r="D736" s="10"/>
      <c r="E736" s="7"/>
      <c r="F736" s="10"/>
      <c r="G736" s="10"/>
      <c r="H736" s="10"/>
      <c r="I736" s="10"/>
      <c r="J736" s="10"/>
      <c r="K736" s="10"/>
      <c r="L736" s="10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11"/>
      <c r="D737" s="10"/>
      <c r="E737" s="7"/>
      <c r="F737" s="10"/>
      <c r="G737" s="10"/>
      <c r="H737" s="10"/>
      <c r="I737" s="10"/>
      <c r="J737" s="10"/>
      <c r="K737" s="10"/>
      <c r="L737" s="10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11"/>
      <c r="D738" s="10"/>
      <c r="E738" s="7"/>
      <c r="F738" s="10"/>
      <c r="G738" s="10"/>
      <c r="H738" s="10"/>
      <c r="I738" s="10"/>
      <c r="J738" s="10"/>
      <c r="K738" s="10"/>
      <c r="L738" s="10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11"/>
      <c r="D739" s="10"/>
      <c r="E739" s="7"/>
      <c r="F739" s="10"/>
      <c r="G739" s="10"/>
      <c r="H739" s="10"/>
      <c r="I739" s="10"/>
      <c r="J739" s="10"/>
      <c r="K739" s="10"/>
      <c r="L739" s="10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11"/>
      <c r="D740" s="10"/>
      <c r="E740" s="7"/>
      <c r="F740" s="10"/>
      <c r="G740" s="10"/>
      <c r="H740" s="10"/>
      <c r="I740" s="10"/>
      <c r="J740" s="10"/>
      <c r="K740" s="10"/>
      <c r="L740" s="10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11"/>
      <c r="D741" s="10"/>
      <c r="E741" s="7"/>
      <c r="F741" s="10"/>
      <c r="G741" s="10"/>
      <c r="H741" s="10"/>
      <c r="I741" s="10"/>
      <c r="J741" s="10"/>
      <c r="K741" s="10"/>
      <c r="L741" s="10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11"/>
      <c r="D742" s="10"/>
      <c r="E742" s="7"/>
      <c r="F742" s="10"/>
      <c r="G742" s="10"/>
      <c r="H742" s="10"/>
      <c r="I742" s="10"/>
      <c r="J742" s="10"/>
      <c r="K742" s="10"/>
      <c r="L742" s="10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11"/>
      <c r="D743" s="10"/>
      <c r="E743" s="7"/>
      <c r="F743" s="10"/>
      <c r="G743" s="10"/>
      <c r="H743" s="10"/>
      <c r="I743" s="10"/>
      <c r="J743" s="10"/>
      <c r="K743" s="10"/>
      <c r="L743" s="10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11"/>
      <c r="D744" s="10"/>
      <c r="E744" s="7"/>
      <c r="F744" s="10"/>
      <c r="G744" s="10"/>
      <c r="H744" s="10"/>
      <c r="I744" s="10"/>
      <c r="J744" s="10"/>
      <c r="K744" s="10"/>
      <c r="L744" s="10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11"/>
      <c r="D745" s="10"/>
      <c r="E745" s="7"/>
      <c r="F745" s="10"/>
      <c r="G745" s="10"/>
      <c r="H745" s="10"/>
      <c r="I745" s="10"/>
      <c r="J745" s="10"/>
      <c r="K745" s="10"/>
      <c r="L745" s="10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11"/>
      <c r="D746" s="10"/>
      <c r="E746" s="7"/>
      <c r="F746" s="10"/>
      <c r="G746" s="10"/>
      <c r="H746" s="10"/>
      <c r="I746" s="10"/>
      <c r="J746" s="10"/>
      <c r="K746" s="10"/>
      <c r="L746" s="10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11"/>
      <c r="D747" s="10"/>
      <c r="E747" s="7"/>
      <c r="F747" s="10"/>
      <c r="G747" s="10"/>
      <c r="H747" s="10"/>
      <c r="I747" s="10"/>
      <c r="J747" s="10"/>
      <c r="K747" s="10"/>
      <c r="L747" s="10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11"/>
      <c r="D748" s="10"/>
      <c r="E748" s="7"/>
      <c r="F748" s="10"/>
      <c r="G748" s="10"/>
      <c r="H748" s="10"/>
      <c r="I748" s="10"/>
      <c r="J748" s="10"/>
      <c r="K748" s="10"/>
      <c r="L748" s="10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11"/>
      <c r="D749" s="10"/>
      <c r="E749" s="7"/>
      <c r="F749" s="10"/>
      <c r="G749" s="10"/>
      <c r="H749" s="10"/>
      <c r="I749" s="10"/>
      <c r="J749" s="10"/>
      <c r="K749" s="10"/>
      <c r="L749" s="10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11"/>
      <c r="D750" s="10"/>
      <c r="E750" s="7"/>
      <c r="F750" s="10"/>
      <c r="G750" s="10"/>
      <c r="H750" s="10"/>
      <c r="I750" s="10"/>
      <c r="J750" s="10"/>
      <c r="K750" s="10"/>
      <c r="L750" s="10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11"/>
      <c r="D751" s="10"/>
      <c r="E751" s="7"/>
      <c r="F751" s="10"/>
      <c r="G751" s="10"/>
      <c r="H751" s="10"/>
      <c r="I751" s="10"/>
      <c r="J751" s="10"/>
      <c r="K751" s="10"/>
      <c r="L751" s="10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11"/>
      <c r="D752" s="10"/>
      <c r="E752" s="7"/>
      <c r="F752" s="10"/>
      <c r="G752" s="10"/>
      <c r="H752" s="10"/>
      <c r="I752" s="10"/>
      <c r="J752" s="10"/>
      <c r="K752" s="10"/>
      <c r="L752" s="10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11"/>
      <c r="D753" s="7"/>
      <c r="F753" s="7"/>
      <c r="G753" s="10"/>
      <c r="H753" s="10"/>
      <c r="I753" s="10"/>
      <c r="J753" s="10"/>
      <c r="K753" s="10"/>
      <c r="L753" s="10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11"/>
      <c r="D754" s="7"/>
      <c r="F754" s="7"/>
      <c r="G754" s="10"/>
      <c r="H754" s="10"/>
      <c r="I754" s="10"/>
      <c r="J754" s="10"/>
      <c r="K754" s="10"/>
      <c r="L754" s="10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11"/>
      <c r="D755" s="7"/>
      <c r="F755" s="7"/>
      <c r="G755" s="10"/>
      <c r="H755" s="10"/>
      <c r="I755" s="10"/>
      <c r="J755" s="10"/>
      <c r="K755" s="10"/>
      <c r="L755" s="10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11"/>
      <c r="D756" s="7"/>
      <c r="F756" s="7"/>
      <c r="G756" s="10"/>
      <c r="H756" s="10"/>
      <c r="I756" s="10"/>
      <c r="J756" s="10"/>
      <c r="K756" s="10"/>
      <c r="L756" s="10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11"/>
      <c r="D757" s="7"/>
      <c r="F757" s="7"/>
      <c r="G757" s="10"/>
      <c r="H757" s="10"/>
      <c r="I757" s="10"/>
      <c r="J757" s="10"/>
      <c r="K757" s="10"/>
      <c r="L757" s="10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11"/>
      <c r="D758" s="7"/>
      <c r="F758" s="7"/>
      <c r="G758" s="10"/>
      <c r="H758" s="10"/>
      <c r="I758" s="10"/>
      <c r="J758" s="10"/>
      <c r="K758" s="10"/>
      <c r="L758" s="10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11"/>
      <c r="D759" s="7"/>
      <c r="F759" s="7"/>
      <c r="G759" s="10"/>
      <c r="H759" s="10"/>
      <c r="I759" s="10"/>
      <c r="J759" s="10"/>
      <c r="K759" s="10"/>
      <c r="L759" s="10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11"/>
      <c r="D760" s="7"/>
      <c r="F760" s="7"/>
      <c r="G760" s="10"/>
      <c r="H760" s="10"/>
      <c r="I760" s="10"/>
      <c r="J760" s="10"/>
      <c r="K760" s="10"/>
      <c r="L760" s="10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11"/>
      <c r="D761" s="7"/>
      <c r="F761" s="7"/>
      <c r="G761" s="10"/>
      <c r="H761" s="10"/>
      <c r="I761" s="10"/>
      <c r="J761" s="10"/>
      <c r="K761" s="10"/>
      <c r="L761" s="10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11"/>
      <c r="D762" s="7"/>
      <c r="F762" s="7"/>
      <c r="G762" s="10"/>
      <c r="H762" s="10"/>
      <c r="I762" s="10"/>
      <c r="J762" s="10"/>
      <c r="K762" s="10"/>
      <c r="L762" s="10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11"/>
      <c r="D763" s="7"/>
      <c r="F763" s="7"/>
      <c r="G763" s="10"/>
      <c r="H763" s="10"/>
      <c r="I763" s="10"/>
      <c r="J763" s="10"/>
      <c r="K763" s="10"/>
      <c r="L763" s="10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11"/>
      <c r="D764" s="7"/>
      <c r="F764" s="7"/>
      <c r="G764" s="10"/>
      <c r="H764" s="10"/>
      <c r="I764" s="10"/>
      <c r="J764" s="10"/>
      <c r="K764" s="10"/>
      <c r="L764" s="10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11"/>
      <c r="D765" s="7"/>
      <c r="F765" s="7"/>
      <c r="G765" s="10"/>
      <c r="H765" s="10"/>
      <c r="I765" s="10"/>
      <c r="J765" s="10"/>
      <c r="K765" s="10"/>
      <c r="L765" s="10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11"/>
      <c r="D766" s="7"/>
      <c r="F766" s="7"/>
      <c r="G766" s="10"/>
      <c r="H766" s="10"/>
      <c r="I766" s="10"/>
      <c r="J766" s="10"/>
      <c r="K766" s="10"/>
      <c r="L766" s="10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11"/>
      <c r="D767" s="7"/>
      <c r="F767" s="7"/>
      <c r="G767" s="10"/>
      <c r="H767" s="10"/>
      <c r="I767" s="10"/>
      <c r="J767" s="10"/>
      <c r="K767" s="10"/>
      <c r="L767" s="10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11"/>
      <c r="D768" s="7"/>
      <c r="F768" s="7"/>
      <c r="G768" s="10"/>
      <c r="H768" s="10"/>
      <c r="I768" s="10"/>
      <c r="J768" s="10"/>
      <c r="K768" s="10"/>
      <c r="L768" s="10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11"/>
      <c r="D769" s="7"/>
      <c r="F769" s="7"/>
      <c r="G769" s="10"/>
      <c r="H769" s="10"/>
      <c r="I769" s="10"/>
      <c r="J769" s="10"/>
      <c r="K769" s="10"/>
      <c r="L769" s="10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11"/>
      <c r="D770" s="7"/>
      <c r="F770" s="7"/>
      <c r="G770" s="10"/>
      <c r="H770" s="10"/>
      <c r="I770" s="10"/>
      <c r="J770" s="10"/>
      <c r="K770" s="10"/>
      <c r="L770" s="10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11"/>
      <c r="D771" s="7"/>
      <c r="F771" s="7"/>
      <c r="G771" s="10"/>
      <c r="H771" s="10"/>
      <c r="I771" s="10"/>
      <c r="J771" s="10"/>
      <c r="K771" s="10"/>
      <c r="L771" s="10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11"/>
      <c r="D772" s="7"/>
      <c r="F772" s="7"/>
      <c r="G772" s="10"/>
      <c r="H772" s="10"/>
      <c r="I772" s="10"/>
      <c r="J772" s="10"/>
      <c r="K772" s="10"/>
      <c r="L772" s="10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11"/>
      <c r="D773" s="7"/>
      <c r="F773" s="7"/>
      <c r="G773" s="10"/>
      <c r="H773" s="10"/>
      <c r="I773" s="10"/>
      <c r="J773" s="10"/>
      <c r="K773" s="10"/>
      <c r="L773" s="10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11"/>
      <c r="D774" s="7"/>
      <c r="F774" s="7"/>
      <c r="G774" s="10"/>
      <c r="H774" s="10"/>
      <c r="I774" s="10"/>
      <c r="J774" s="10"/>
      <c r="K774" s="10"/>
      <c r="L774" s="10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11"/>
      <c r="D775" s="7"/>
      <c r="F775" s="7"/>
      <c r="G775" s="10"/>
      <c r="H775" s="10"/>
      <c r="I775" s="10"/>
      <c r="J775" s="10"/>
      <c r="K775" s="10"/>
      <c r="L775" s="10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11"/>
      <c r="D776" s="7"/>
      <c r="F776" s="7"/>
      <c r="G776" s="10"/>
      <c r="H776" s="10"/>
      <c r="I776" s="10"/>
      <c r="J776" s="10"/>
      <c r="K776" s="10"/>
      <c r="L776" s="10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11"/>
      <c r="D777" s="7"/>
      <c r="F777" s="7"/>
      <c r="G777" s="10"/>
      <c r="H777" s="10"/>
      <c r="I777" s="10"/>
      <c r="J777" s="10"/>
      <c r="K777" s="10"/>
      <c r="L777" s="10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11"/>
      <c r="D778" s="7"/>
      <c r="F778" s="7"/>
      <c r="G778" s="10"/>
      <c r="H778" s="10"/>
      <c r="I778" s="10"/>
      <c r="J778" s="10"/>
      <c r="K778" s="10"/>
      <c r="L778" s="10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11"/>
      <c r="D779" s="7"/>
      <c r="F779" s="7"/>
      <c r="G779" s="10"/>
      <c r="H779" s="10"/>
      <c r="I779" s="10"/>
      <c r="J779" s="10"/>
      <c r="K779" s="10"/>
      <c r="L779" s="10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11"/>
      <c r="D780" s="7"/>
      <c r="F780" s="7"/>
      <c r="G780" s="10"/>
      <c r="H780" s="10"/>
      <c r="I780" s="10"/>
      <c r="J780" s="10"/>
      <c r="K780" s="10"/>
      <c r="L780" s="10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11"/>
      <c r="D781" s="7"/>
      <c r="F781" s="7"/>
      <c r="G781" s="10"/>
      <c r="H781" s="10"/>
      <c r="I781" s="10"/>
      <c r="J781" s="10"/>
      <c r="K781" s="10"/>
      <c r="L781" s="10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11"/>
      <c r="D782" s="7"/>
      <c r="F782" s="7"/>
      <c r="G782" s="10"/>
      <c r="H782" s="10"/>
      <c r="I782" s="10"/>
      <c r="J782" s="10"/>
      <c r="K782" s="10"/>
      <c r="L782" s="10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11"/>
      <c r="D783" s="7"/>
      <c r="F783" s="7"/>
      <c r="G783" s="10"/>
      <c r="H783" s="10"/>
      <c r="I783" s="10"/>
      <c r="J783" s="10"/>
      <c r="K783" s="10"/>
      <c r="L783" s="10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11"/>
      <c r="D784" s="7"/>
      <c r="F784" s="7"/>
      <c r="G784" s="10"/>
      <c r="H784" s="10"/>
      <c r="I784" s="10"/>
      <c r="J784" s="10"/>
      <c r="K784" s="10"/>
      <c r="L784" s="10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11"/>
      <c r="D785" s="7"/>
      <c r="F785" s="7"/>
      <c r="G785" s="10"/>
      <c r="H785" s="10"/>
      <c r="I785" s="10"/>
      <c r="J785" s="10"/>
      <c r="K785" s="10"/>
      <c r="L785" s="10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11"/>
      <c r="D786" s="7"/>
      <c r="F786" s="7"/>
      <c r="G786" s="10"/>
      <c r="H786" s="10"/>
      <c r="I786" s="10"/>
      <c r="J786" s="10"/>
      <c r="K786" s="10"/>
      <c r="L786" s="10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11"/>
      <c r="D787" s="7"/>
      <c r="F787" s="7"/>
      <c r="G787" s="10"/>
      <c r="H787" s="10"/>
      <c r="I787" s="10"/>
      <c r="J787" s="10"/>
      <c r="K787" s="10"/>
      <c r="L787" s="10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11"/>
      <c r="D788" s="7"/>
      <c r="F788" s="7"/>
      <c r="G788" s="10"/>
      <c r="H788" s="10"/>
      <c r="I788" s="10"/>
      <c r="J788" s="10"/>
      <c r="K788" s="10"/>
      <c r="L788" s="10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11"/>
      <c r="D789" s="7"/>
      <c r="F789" s="7"/>
      <c r="G789" s="10"/>
      <c r="H789" s="10"/>
      <c r="I789" s="10"/>
      <c r="J789" s="10"/>
      <c r="K789" s="10"/>
      <c r="L789" s="10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11"/>
      <c r="D790" s="7"/>
      <c r="F790" s="7"/>
      <c r="G790" s="10"/>
      <c r="H790" s="10"/>
      <c r="I790" s="10"/>
      <c r="J790" s="10"/>
      <c r="K790" s="10"/>
      <c r="L790" s="10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11"/>
      <c r="D791" s="7"/>
      <c r="F791" s="7"/>
      <c r="G791" s="10"/>
      <c r="H791" s="10"/>
      <c r="I791" s="10"/>
      <c r="J791" s="10"/>
      <c r="K791" s="10"/>
      <c r="L791" s="10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11"/>
      <c r="D792" s="7"/>
      <c r="F792" s="7"/>
      <c r="G792" s="10"/>
      <c r="H792" s="10"/>
      <c r="I792" s="10"/>
      <c r="J792" s="10"/>
      <c r="K792" s="10"/>
      <c r="L792" s="10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11"/>
      <c r="D793" s="7"/>
      <c r="F793" s="7"/>
      <c r="G793" s="10"/>
      <c r="H793" s="10"/>
      <c r="I793" s="10"/>
      <c r="J793" s="10"/>
      <c r="K793" s="10"/>
      <c r="L793" s="10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11"/>
      <c r="D794" s="7"/>
      <c r="F794" s="7"/>
      <c r="G794" s="10"/>
      <c r="H794" s="10"/>
      <c r="I794" s="10"/>
      <c r="J794" s="10"/>
      <c r="K794" s="10"/>
      <c r="L794" s="10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11"/>
      <c r="D795" s="7"/>
      <c r="F795" s="7"/>
      <c r="G795" s="10"/>
      <c r="H795" s="10"/>
      <c r="I795" s="10"/>
      <c r="J795" s="10"/>
      <c r="K795" s="10"/>
      <c r="L795" s="10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11"/>
      <c r="D796" s="7"/>
      <c r="F796" s="7"/>
      <c r="G796" s="10"/>
      <c r="H796" s="10"/>
      <c r="I796" s="10"/>
      <c r="J796" s="10"/>
      <c r="K796" s="10"/>
      <c r="L796" s="10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11"/>
      <c r="D797" s="7"/>
      <c r="F797" s="7"/>
      <c r="G797" s="10"/>
      <c r="H797" s="10"/>
      <c r="I797" s="10"/>
      <c r="J797" s="10"/>
      <c r="K797" s="10"/>
      <c r="L797" s="10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11"/>
      <c r="D798" s="7"/>
      <c r="F798" s="7"/>
      <c r="G798" s="10"/>
      <c r="H798" s="10"/>
      <c r="I798" s="10"/>
      <c r="J798" s="10"/>
      <c r="K798" s="10"/>
      <c r="L798" s="10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11"/>
      <c r="D799" s="7"/>
      <c r="F799" s="7"/>
      <c r="G799" s="10"/>
      <c r="H799" s="10"/>
      <c r="I799" s="10"/>
      <c r="J799" s="10"/>
      <c r="K799" s="10"/>
      <c r="L799" s="10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11"/>
      <c r="D800" s="7"/>
      <c r="F800" s="7"/>
      <c r="G800" s="10"/>
      <c r="H800" s="10"/>
      <c r="I800" s="10"/>
      <c r="J800" s="10"/>
      <c r="K800" s="10"/>
      <c r="L800" s="10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11"/>
      <c r="D801" s="7"/>
      <c r="F801" s="7"/>
      <c r="G801" s="10"/>
      <c r="H801" s="10"/>
      <c r="I801" s="10"/>
      <c r="J801" s="10"/>
      <c r="K801" s="10"/>
      <c r="L801" s="10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11"/>
      <c r="D802" s="7"/>
      <c r="F802" s="7"/>
      <c r="G802" s="10"/>
      <c r="H802" s="10"/>
      <c r="I802" s="10"/>
      <c r="J802" s="10"/>
      <c r="K802" s="10"/>
      <c r="L802" s="10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11"/>
      <c r="D803" s="7"/>
      <c r="F803" s="7"/>
      <c r="G803" s="10"/>
      <c r="H803" s="10"/>
      <c r="I803" s="10"/>
      <c r="J803" s="10"/>
      <c r="K803" s="10"/>
      <c r="L803" s="10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11"/>
      <c r="D804" s="7"/>
      <c r="F804" s="7"/>
      <c r="G804" s="10"/>
      <c r="H804" s="10"/>
      <c r="I804" s="10"/>
      <c r="J804" s="10"/>
      <c r="K804" s="10"/>
      <c r="L804" s="10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11"/>
      <c r="D805" s="7"/>
      <c r="F805" s="7"/>
      <c r="G805" s="10"/>
      <c r="H805" s="10"/>
      <c r="I805" s="10"/>
      <c r="J805" s="10"/>
      <c r="K805" s="10"/>
      <c r="L805" s="10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11"/>
      <c r="D806" s="7"/>
      <c r="F806" s="7"/>
      <c r="G806" s="10"/>
      <c r="H806" s="10"/>
      <c r="I806" s="10"/>
      <c r="J806" s="10"/>
      <c r="K806" s="10"/>
      <c r="L806" s="10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11"/>
      <c r="D807" s="7"/>
      <c r="F807" s="7"/>
      <c r="G807" s="10"/>
      <c r="H807" s="10"/>
      <c r="I807" s="10"/>
      <c r="J807" s="10"/>
      <c r="K807" s="10"/>
      <c r="L807" s="10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11"/>
      <c r="D808" s="7"/>
      <c r="F808" s="7"/>
      <c r="G808" s="10"/>
      <c r="H808" s="10"/>
      <c r="I808" s="10"/>
      <c r="J808" s="10"/>
      <c r="K808" s="10"/>
      <c r="L808" s="10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11"/>
      <c r="D809" s="7"/>
      <c r="F809" s="7"/>
      <c r="G809" s="10"/>
      <c r="H809" s="10"/>
      <c r="I809" s="10"/>
      <c r="J809" s="10"/>
      <c r="K809" s="10"/>
      <c r="L809" s="10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11"/>
      <c r="D810" s="7"/>
      <c r="F810" s="7"/>
      <c r="G810" s="10"/>
      <c r="H810" s="10"/>
      <c r="I810" s="10"/>
      <c r="J810" s="10"/>
      <c r="K810" s="10"/>
      <c r="L810" s="10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11"/>
      <c r="D811" s="7"/>
      <c r="F811" s="7"/>
      <c r="G811" s="10"/>
      <c r="H811" s="10"/>
      <c r="I811" s="10"/>
      <c r="J811" s="10"/>
      <c r="K811" s="10"/>
      <c r="L811" s="10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11"/>
      <c r="D812" s="7"/>
      <c r="F812" s="7"/>
      <c r="G812" s="10"/>
      <c r="H812" s="10"/>
      <c r="I812" s="10"/>
      <c r="J812" s="10"/>
      <c r="K812" s="10"/>
      <c r="L812" s="10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11"/>
      <c r="D813" s="7"/>
      <c r="F813" s="7"/>
      <c r="G813" s="10"/>
      <c r="H813" s="10"/>
      <c r="I813" s="10"/>
      <c r="J813" s="10"/>
      <c r="K813" s="10"/>
      <c r="L813" s="10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11"/>
      <c r="D814" s="7"/>
      <c r="F814" s="7"/>
      <c r="G814" s="10"/>
      <c r="H814" s="10"/>
      <c r="I814" s="10"/>
      <c r="J814" s="10"/>
      <c r="K814" s="10"/>
      <c r="L814" s="10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11"/>
      <c r="D815" s="7"/>
      <c r="F815" s="7"/>
      <c r="G815" s="10"/>
      <c r="H815" s="10"/>
      <c r="I815" s="10"/>
      <c r="J815" s="10"/>
      <c r="K815" s="10"/>
      <c r="L815" s="10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11"/>
      <c r="D816" s="7"/>
      <c r="F816" s="7"/>
      <c r="G816" s="10"/>
      <c r="H816" s="10"/>
      <c r="I816" s="10"/>
      <c r="J816" s="10"/>
      <c r="K816" s="10"/>
      <c r="L816" s="10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11"/>
      <c r="D817" s="7"/>
      <c r="F817" s="7"/>
      <c r="G817" s="10"/>
      <c r="H817" s="10"/>
      <c r="I817" s="10"/>
      <c r="J817" s="10"/>
      <c r="K817" s="10"/>
      <c r="L817" s="10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11"/>
      <c r="D818" s="7"/>
      <c r="F818" s="7"/>
      <c r="G818" s="10"/>
      <c r="H818" s="10"/>
      <c r="I818" s="10"/>
      <c r="J818" s="10"/>
      <c r="K818" s="10"/>
      <c r="L818" s="10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11"/>
      <c r="D819" s="7"/>
      <c r="F819" s="7"/>
      <c r="G819" s="10"/>
      <c r="H819" s="10"/>
      <c r="I819" s="10"/>
      <c r="J819" s="10"/>
      <c r="K819" s="10"/>
      <c r="L819" s="10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11"/>
      <c r="D820" s="7"/>
      <c r="F820" s="7"/>
      <c r="G820" s="10"/>
      <c r="H820" s="10"/>
      <c r="I820" s="10"/>
      <c r="J820" s="10"/>
      <c r="K820" s="10"/>
      <c r="L820" s="10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11"/>
      <c r="D821" s="7"/>
      <c r="F821" s="7"/>
      <c r="G821" s="10"/>
      <c r="H821" s="10"/>
      <c r="I821" s="10"/>
      <c r="J821" s="10"/>
      <c r="K821" s="10"/>
      <c r="L821" s="10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11"/>
      <c r="D822" s="7"/>
      <c r="F822" s="7"/>
      <c r="G822" s="10"/>
      <c r="H822" s="10"/>
      <c r="I822" s="10"/>
      <c r="J822" s="10"/>
      <c r="K822" s="10"/>
      <c r="L822" s="10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11"/>
      <c r="D823" s="7"/>
      <c r="F823" s="7"/>
      <c r="G823" s="10"/>
      <c r="H823" s="10"/>
      <c r="I823" s="10"/>
      <c r="J823" s="10"/>
      <c r="K823" s="10"/>
      <c r="L823" s="10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11"/>
      <c r="D824" s="7"/>
      <c r="F824" s="7"/>
      <c r="G824" s="10"/>
      <c r="H824" s="10"/>
      <c r="I824" s="10"/>
      <c r="J824" s="10"/>
      <c r="K824" s="10"/>
      <c r="L824" s="10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11"/>
      <c r="D825" s="7"/>
      <c r="F825" s="7"/>
      <c r="G825" s="10"/>
      <c r="H825" s="10"/>
      <c r="I825" s="10"/>
      <c r="J825" s="10"/>
      <c r="K825" s="10"/>
      <c r="L825" s="10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11"/>
      <c r="D826" s="7"/>
      <c r="F826" s="7"/>
      <c r="G826" s="10"/>
      <c r="H826" s="10"/>
      <c r="I826" s="10"/>
      <c r="J826" s="10"/>
      <c r="K826" s="10"/>
      <c r="L826" s="10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11"/>
      <c r="D827" s="7"/>
      <c r="F827" s="7"/>
      <c r="G827" s="10"/>
      <c r="H827" s="10"/>
      <c r="I827" s="10"/>
      <c r="J827" s="10"/>
      <c r="K827" s="10"/>
      <c r="L827" s="10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11"/>
      <c r="D828" s="7"/>
      <c r="F828" s="7"/>
      <c r="G828" s="10"/>
      <c r="H828" s="10"/>
      <c r="I828" s="10"/>
      <c r="J828" s="10"/>
      <c r="K828" s="10"/>
      <c r="L828" s="10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11"/>
      <c r="D829" s="7"/>
      <c r="F829" s="7"/>
      <c r="G829" s="10"/>
      <c r="H829" s="10"/>
      <c r="I829" s="10"/>
      <c r="J829" s="10"/>
      <c r="K829" s="10"/>
      <c r="L829" s="10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11"/>
      <c r="D830" s="7"/>
      <c r="F830" s="7"/>
      <c r="G830" s="10"/>
      <c r="H830" s="10"/>
      <c r="I830" s="10"/>
      <c r="J830" s="10"/>
      <c r="K830" s="10"/>
      <c r="L830" s="10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11"/>
      <c r="D831" s="7"/>
      <c r="F831" s="7"/>
      <c r="G831" s="10"/>
      <c r="H831" s="10"/>
      <c r="I831" s="10"/>
      <c r="J831" s="10"/>
      <c r="K831" s="10"/>
      <c r="L831" s="10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11"/>
      <c r="D832" s="7"/>
      <c r="F832" s="7"/>
      <c r="G832" s="10"/>
      <c r="H832" s="10"/>
      <c r="I832" s="10"/>
      <c r="J832" s="10"/>
      <c r="K832" s="10"/>
      <c r="L832" s="10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11"/>
      <c r="D833" s="7"/>
      <c r="F833" s="7"/>
      <c r="G833" s="10"/>
      <c r="H833" s="10"/>
      <c r="I833" s="10"/>
      <c r="J833" s="10"/>
      <c r="K833" s="10"/>
      <c r="L833" s="10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11"/>
      <c r="D834" s="7"/>
      <c r="F834" s="7"/>
      <c r="G834" s="10"/>
      <c r="H834" s="10"/>
      <c r="I834" s="10"/>
      <c r="J834" s="10"/>
      <c r="K834" s="10"/>
      <c r="L834" s="10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11"/>
      <c r="D835" s="7"/>
      <c r="F835" s="7"/>
      <c r="G835" s="10"/>
      <c r="H835" s="10"/>
      <c r="I835" s="10"/>
      <c r="J835" s="10"/>
      <c r="K835" s="10"/>
      <c r="L835" s="10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11"/>
      <c r="D836" s="7"/>
      <c r="F836" s="7"/>
      <c r="G836" s="10"/>
      <c r="H836" s="10"/>
      <c r="I836" s="10"/>
      <c r="J836" s="10"/>
      <c r="K836" s="10"/>
      <c r="L836" s="10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11"/>
      <c r="D837" s="7"/>
      <c r="F837" s="7"/>
      <c r="G837" s="10"/>
      <c r="H837" s="10"/>
      <c r="I837" s="10"/>
      <c r="J837" s="10"/>
      <c r="K837" s="10"/>
      <c r="L837" s="10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11"/>
      <c r="D838" s="7"/>
      <c r="F838" s="7"/>
      <c r="G838" s="10"/>
      <c r="H838" s="10"/>
      <c r="I838" s="10"/>
      <c r="J838" s="10"/>
      <c r="K838" s="10"/>
      <c r="L838" s="10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11"/>
      <c r="D839" s="7"/>
      <c r="F839" s="7"/>
      <c r="G839" s="10"/>
      <c r="H839" s="10"/>
      <c r="I839" s="10"/>
      <c r="J839" s="10"/>
      <c r="K839" s="10"/>
      <c r="L839" s="10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11"/>
      <c r="D840" s="7"/>
      <c r="F840" s="7"/>
      <c r="G840" s="10"/>
      <c r="H840" s="10"/>
      <c r="I840" s="10"/>
      <c r="J840" s="10"/>
      <c r="K840" s="10"/>
      <c r="L840" s="10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11"/>
      <c r="D841" s="7"/>
      <c r="F841" s="7"/>
      <c r="G841" s="10"/>
      <c r="H841" s="10"/>
      <c r="I841" s="10"/>
      <c r="J841" s="10"/>
      <c r="K841" s="10"/>
      <c r="L841" s="10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11"/>
      <c r="D842" s="7"/>
      <c r="F842" s="7"/>
      <c r="G842" s="10"/>
      <c r="H842" s="10"/>
      <c r="I842" s="10"/>
      <c r="J842" s="10"/>
      <c r="K842" s="10"/>
      <c r="L842" s="10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11"/>
      <c r="D843" s="7"/>
      <c r="F843" s="7"/>
      <c r="G843" s="10"/>
      <c r="H843" s="10"/>
      <c r="I843" s="10"/>
      <c r="J843" s="10"/>
      <c r="K843" s="10"/>
      <c r="L843" s="10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11"/>
      <c r="D844" s="7"/>
      <c r="F844" s="7"/>
      <c r="G844" s="10"/>
      <c r="H844" s="10"/>
      <c r="I844" s="10"/>
      <c r="J844" s="10"/>
      <c r="K844" s="10"/>
      <c r="L844" s="10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11"/>
      <c r="D845" s="7"/>
      <c r="F845" s="7"/>
      <c r="G845" s="10"/>
      <c r="H845" s="10"/>
      <c r="I845" s="10"/>
      <c r="J845" s="10"/>
      <c r="K845" s="10"/>
      <c r="L845" s="10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11"/>
      <c r="D846" s="7"/>
      <c r="F846" s="7"/>
      <c r="G846" s="10"/>
      <c r="H846" s="10"/>
      <c r="I846" s="10"/>
      <c r="J846" s="10"/>
      <c r="K846" s="10"/>
      <c r="L846" s="10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11"/>
      <c r="D847" s="7"/>
      <c r="F847" s="7"/>
      <c r="G847" s="10"/>
      <c r="H847" s="10"/>
      <c r="I847" s="10"/>
      <c r="J847" s="10"/>
      <c r="K847" s="10"/>
      <c r="L847" s="10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11"/>
      <c r="D848" s="7"/>
      <c r="F848" s="7"/>
      <c r="G848" s="10"/>
      <c r="H848" s="10"/>
      <c r="I848" s="10"/>
      <c r="J848" s="10"/>
      <c r="K848" s="10"/>
      <c r="L848" s="10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11"/>
      <c r="D849" s="7"/>
      <c r="F849" s="7"/>
      <c r="G849" s="10"/>
      <c r="H849" s="10"/>
      <c r="I849" s="10"/>
      <c r="J849" s="10"/>
      <c r="K849" s="10"/>
      <c r="L849" s="10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11"/>
      <c r="D850" s="7"/>
      <c r="F850" s="7"/>
      <c r="G850" s="10"/>
      <c r="H850" s="10"/>
      <c r="I850" s="10"/>
      <c r="J850" s="10"/>
      <c r="K850" s="10"/>
      <c r="L850" s="10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11"/>
      <c r="D851" s="7"/>
      <c r="F851" s="7"/>
      <c r="G851" s="10"/>
      <c r="H851" s="10"/>
      <c r="I851" s="10"/>
      <c r="J851" s="10"/>
      <c r="K851" s="10"/>
      <c r="L851" s="10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11"/>
      <c r="D852" s="7"/>
      <c r="F852" s="7"/>
      <c r="G852" s="10"/>
      <c r="H852" s="10"/>
      <c r="I852" s="10"/>
      <c r="J852" s="10"/>
      <c r="K852" s="10"/>
      <c r="L852" s="10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11"/>
      <c r="D853" s="7"/>
      <c r="F853" s="7"/>
      <c r="G853" s="10"/>
      <c r="H853" s="10"/>
      <c r="I853" s="10"/>
      <c r="J853" s="10"/>
      <c r="K853" s="10"/>
      <c r="L853" s="10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11"/>
      <c r="D854" s="7"/>
      <c r="F854" s="7"/>
      <c r="G854" s="10"/>
      <c r="H854" s="10"/>
      <c r="I854" s="10"/>
      <c r="J854" s="10"/>
      <c r="K854" s="10"/>
      <c r="L854" s="10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11"/>
      <c r="D855" s="7"/>
      <c r="F855" s="7"/>
      <c r="G855" s="10"/>
      <c r="H855" s="10"/>
      <c r="I855" s="10"/>
      <c r="J855" s="10"/>
      <c r="K855" s="10"/>
      <c r="L855" s="10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11"/>
      <c r="D856" s="7"/>
      <c r="F856" s="7"/>
      <c r="G856" s="10"/>
      <c r="H856" s="10"/>
      <c r="I856" s="10"/>
      <c r="J856" s="10"/>
      <c r="K856" s="10"/>
      <c r="L856" s="10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11"/>
      <c r="D857" s="7"/>
      <c r="F857" s="7"/>
      <c r="G857" s="10"/>
      <c r="H857" s="10"/>
      <c r="I857" s="10"/>
      <c r="J857" s="10"/>
      <c r="K857" s="10"/>
      <c r="L857" s="10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11"/>
      <c r="D858" s="7"/>
      <c r="F858" s="7"/>
      <c r="G858" s="10"/>
      <c r="H858" s="10"/>
      <c r="I858" s="10"/>
      <c r="J858" s="10"/>
      <c r="K858" s="10"/>
      <c r="L858" s="10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11"/>
      <c r="D859" s="7"/>
      <c r="F859" s="7"/>
      <c r="G859" s="10"/>
      <c r="H859" s="10"/>
      <c r="I859" s="10"/>
      <c r="J859" s="10"/>
      <c r="K859" s="10"/>
      <c r="L859" s="10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11"/>
      <c r="D860" s="7"/>
      <c r="F860" s="7"/>
      <c r="G860" s="10"/>
      <c r="H860" s="10"/>
      <c r="I860" s="10"/>
      <c r="J860" s="10"/>
      <c r="K860" s="10"/>
      <c r="L860" s="10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11"/>
      <c r="D861" s="7"/>
      <c r="F861" s="7"/>
      <c r="G861" s="10"/>
      <c r="H861" s="10"/>
      <c r="I861" s="10"/>
      <c r="J861" s="10"/>
      <c r="K861" s="10"/>
      <c r="L861" s="10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11"/>
      <c r="D862" s="7"/>
      <c r="F862" s="7"/>
      <c r="G862" s="10"/>
      <c r="H862" s="10"/>
      <c r="I862" s="10"/>
      <c r="J862" s="10"/>
      <c r="K862" s="10"/>
      <c r="L862" s="10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11"/>
      <c r="D863" s="7"/>
      <c r="F863" s="7"/>
      <c r="G863" s="10"/>
      <c r="H863" s="10"/>
      <c r="I863" s="10"/>
      <c r="J863" s="10"/>
      <c r="K863" s="10"/>
      <c r="L863" s="10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11"/>
      <c r="D864" s="7"/>
      <c r="F864" s="7"/>
      <c r="G864" s="10"/>
      <c r="H864" s="10"/>
      <c r="I864" s="10"/>
      <c r="J864" s="10"/>
      <c r="K864" s="10"/>
      <c r="L864" s="10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11"/>
      <c r="D865" s="7"/>
      <c r="F865" s="7"/>
      <c r="G865" s="10"/>
      <c r="H865" s="10"/>
      <c r="I865" s="10"/>
      <c r="J865" s="10"/>
      <c r="K865" s="10"/>
      <c r="L865" s="10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11"/>
      <c r="D866" s="7"/>
      <c r="F866" s="7"/>
      <c r="G866" s="10"/>
      <c r="H866" s="10"/>
      <c r="I866" s="10"/>
      <c r="J866" s="10"/>
      <c r="K866" s="10"/>
      <c r="L866" s="10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11"/>
      <c r="D867" s="7"/>
      <c r="F867" s="7"/>
      <c r="G867" s="10"/>
      <c r="H867" s="10"/>
      <c r="I867" s="10"/>
      <c r="J867" s="10"/>
      <c r="K867" s="10"/>
      <c r="L867" s="10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11"/>
      <c r="D868" s="7"/>
      <c r="F868" s="7"/>
      <c r="G868" s="10"/>
      <c r="H868" s="10"/>
      <c r="I868" s="10"/>
      <c r="J868" s="10"/>
      <c r="K868" s="10"/>
      <c r="L868" s="10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11"/>
      <c r="D869" s="7"/>
      <c r="F869" s="7"/>
      <c r="G869" s="10"/>
      <c r="H869" s="10"/>
      <c r="I869" s="10"/>
      <c r="J869" s="10"/>
      <c r="K869" s="10"/>
      <c r="L869" s="10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11"/>
      <c r="D870" s="7"/>
      <c r="F870" s="7"/>
      <c r="G870" s="10"/>
      <c r="H870" s="10"/>
      <c r="I870" s="10"/>
      <c r="J870" s="10"/>
      <c r="K870" s="10"/>
      <c r="L870" s="10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11"/>
      <c r="D871" s="7"/>
      <c r="F871" s="7"/>
      <c r="G871" s="10"/>
      <c r="H871" s="10"/>
      <c r="I871" s="10"/>
      <c r="J871" s="10"/>
      <c r="K871" s="10"/>
      <c r="L871" s="10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11"/>
      <c r="D872" s="7"/>
      <c r="F872" s="7"/>
      <c r="G872" s="10"/>
      <c r="H872" s="10"/>
      <c r="I872" s="10"/>
      <c r="J872" s="10"/>
      <c r="K872" s="10"/>
      <c r="L872" s="10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11"/>
      <c r="D873" s="7"/>
      <c r="F873" s="7"/>
      <c r="G873" s="10"/>
      <c r="H873" s="10"/>
      <c r="I873" s="10"/>
      <c r="J873" s="10"/>
      <c r="K873" s="10"/>
      <c r="L873" s="10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11"/>
      <c r="D874" s="7"/>
      <c r="F874" s="7"/>
      <c r="G874" s="10"/>
      <c r="H874" s="10"/>
      <c r="I874" s="10"/>
      <c r="J874" s="10"/>
      <c r="K874" s="10"/>
      <c r="L874" s="10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11"/>
      <c r="D875" s="7"/>
      <c r="F875" s="7"/>
      <c r="G875" s="10"/>
      <c r="H875" s="10"/>
      <c r="I875" s="10"/>
      <c r="J875" s="10"/>
      <c r="K875" s="10"/>
      <c r="L875" s="10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11"/>
      <c r="D876" s="7"/>
      <c r="F876" s="7"/>
      <c r="G876" s="10"/>
      <c r="H876" s="10"/>
      <c r="I876" s="10"/>
      <c r="J876" s="10"/>
      <c r="K876" s="10"/>
      <c r="L876" s="10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12"/>
      <c r="G877" s="10"/>
      <c r="H877" s="10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12"/>
      <c r="G878" s="10"/>
      <c r="H878" s="10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12"/>
      <c r="G879" s="10"/>
      <c r="H879" s="10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12"/>
      <c r="G880" s="10"/>
      <c r="H880" s="10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12"/>
      <c r="G881" s="10"/>
      <c r="H881" s="10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12"/>
      <c r="G882" s="10"/>
      <c r="H882" s="10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12"/>
      <c r="G883" s="10"/>
      <c r="H883" s="10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12"/>
      <c r="G884" s="10"/>
      <c r="H884" s="10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12"/>
      <c r="G885" s="10"/>
      <c r="H885" s="10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12"/>
      <c r="G886" s="10"/>
      <c r="H886" s="10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12"/>
      <c r="G887" s="10"/>
      <c r="H887" s="10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12"/>
      <c r="G888" s="10"/>
      <c r="H888" s="10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12"/>
      <c r="G889" s="10"/>
      <c r="H889" s="10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12"/>
      <c r="G890" s="10"/>
      <c r="H890" s="10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12"/>
      <c r="G891" s="10"/>
      <c r="H891" s="10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12"/>
      <c r="G892" s="10"/>
      <c r="H892" s="10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12"/>
      <c r="G893" s="10"/>
      <c r="H893" s="10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12"/>
      <c r="G894" s="10"/>
      <c r="H894" s="10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12"/>
      <c r="G895" s="10"/>
      <c r="H895" s="10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12"/>
      <c r="G896" s="10"/>
      <c r="H896" s="10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12"/>
      <c r="G897" s="10"/>
      <c r="H897" s="10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12"/>
      <c r="G898" s="10"/>
      <c r="H898" s="10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12"/>
      <c r="G899" s="10"/>
      <c r="H899" s="10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12"/>
      <c r="G900" s="10"/>
      <c r="H900" s="10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12"/>
      <c r="G901" s="10"/>
      <c r="H901" s="10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12"/>
      <c r="G902" s="10"/>
      <c r="H902" s="10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12"/>
      <c r="G903" s="10"/>
      <c r="H903" s="10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12"/>
      <c r="G904" s="10"/>
      <c r="H904" s="10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12"/>
      <c r="G905" s="10"/>
      <c r="H905" s="10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12"/>
      <c r="G906" s="10"/>
      <c r="H906" s="10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12"/>
      <c r="G907" s="10"/>
      <c r="H907" s="10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12"/>
      <c r="G908" s="10"/>
      <c r="H908" s="10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12"/>
      <c r="G909" s="10"/>
      <c r="H909" s="10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12"/>
      <c r="G910" s="10"/>
      <c r="H910" s="10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12"/>
      <c r="G911" s="10"/>
      <c r="H911" s="10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12"/>
      <c r="G912" s="10"/>
      <c r="H912" s="10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12"/>
      <c r="G913" s="10"/>
      <c r="H913" s="10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12"/>
      <c r="G914" s="10"/>
      <c r="H914" s="10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12"/>
      <c r="G915" s="10"/>
      <c r="H915" s="10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12"/>
      <c r="G916" s="10"/>
      <c r="H916" s="10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12"/>
      <c r="G917" s="10"/>
      <c r="H917" s="10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12"/>
      <c r="G918" s="10"/>
      <c r="H918" s="10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12"/>
      <c r="G919" s="10"/>
      <c r="H919" s="10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12"/>
      <c r="G920" s="10"/>
      <c r="H920" s="10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12"/>
      <c r="G921" s="10"/>
      <c r="H921" s="10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12"/>
      <c r="G922" s="10"/>
      <c r="H922" s="10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12"/>
      <c r="G923" s="10"/>
      <c r="H923" s="10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12"/>
      <c r="G924" s="10"/>
      <c r="H924" s="10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12"/>
      <c r="G925" s="10"/>
      <c r="H925" s="10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12"/>
      <c r="G926" s="10"/>
      <c r="H926" s="10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12"/>
      <c r="G927" s="10"/>
      <c r="H927" s="10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12"/>
      <c r="G928" s="10"/>
      <c r="H928" s="10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12"/>
      <c r="G929" s="10"/>
      <c r="H929" s="10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12"/>
      <c r="G930" s="10"/>
      <c r="H930" s="10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12"/>
      <c r="G931" s="10"/>
      <c r="H931" s="10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12"/>
      <c r="G932" s="10"/>
      <c r="H932" s="10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12"/>
      <c r="G933" s="10"/>
      <c r="H933" s="10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12"/>
      <c r="G934" s="10"/>
      <c r="H934" s="10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12"/>
      <c r="G935" s="10"/>
      <c r="H935" s="10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12"/>
      <c r="G936" s="10"/>
      <c r="H936" s="10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12"/>
      <c r="G937" s="10"/>
      <c r="H937" s="10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12"/>
      <c r="G938" s="10"/>
      <c r="H938" s="10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12"/>
      <c r="G939" s="10"/>
      <c r="H939" s="10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12"/>
      <c r="G940" s="10"/>
      <c r="H940" s="10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12"/>
      <c r="G941" s="10"/>
      <c r="H941" s="10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12"/>
      <c r="G942" s="10"/>
      <c r="H942" s="10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12"/>
      <c r="G943" s="10"/>
      <c r="H943" s="10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12"/>
      <c r="G944" s="10"/>
      <c r="H944" s="10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12"/>
      <c r="G945" s="10"/>
      <c r="H945" s="10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12"/>
      <c r="G946" s="10"/>
      <c r="H946" s="10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12"/>
      <c r="G947" s="10"/>
      <c r="H947" s="10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12"/>
      <c r="G948" s="10"/>
      <c r="H948" s="10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12"/>
      <c r="G949" s="10"/>
      <c r="H949" s="10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12"/>
      <c r="G950" s="10"/>
      <c r="H950" s="10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12"/>
      <c r="G951" s="10"/>
      <c r="H951" s="10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12"/>
      <c r="G952" s="10"/>
      <c r="H952" s="10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12"/>
      <c r="G953" s="10"/>
      <c r="H953" s="10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12"/>
      <c r="G954" s="10"/>
      <c r="H954" s="10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12"/>
      <c r="G955" s="10"/>
      <c r="H955" s="10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12"/>
      <c r="G956" s="10"/>
      <c r="H956" s="10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12"/>
      <c r="G957" s="10"/>
      <c r="H957" s="10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12"/>
      <c r="G958" s="10"/>
      <c r="H958" s="10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12"/>
      <c r="G959" s="10"/>
      <c r="H959" s="10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12"/>
      <c r="G960" s="10"/>
      <c r="H960" s="10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12"/>
      <c r="G961" s="10"/>
      <c r="H961" s="10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12"/>
      <c r="G962" s="10"/>
      <c r="H962" s="10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12"/>
      <c r="G963" s="10"/>
      <c r="H963" s="10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12"/>
      <c r="G964" s="10"/>
      <c r="H964" s="10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12"/>
      <c r="G965" s="10"/>
      <c r="H965" s="10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12"/>
      <c r="G966" s="10"/>
      <c r="H966" s="10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12"/>
      <c r="G967" s="10"/>
      <c r="H967" s="10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12"/>
      <c r="G968" s="10"/>
      <c r="H968" s="10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12"/>
      <c r="G969" s="10"/>
      <c r="H969" s="10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12"/>
      <c r="G970" s="10"/>
      <c r="H970" s="10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12"/>
      <c r="G971" s="10"/>
      <c r="H971" s="10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12"/>
      <c r="G972" s="10"/>
      <c r="H972" s="10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12"/>
      <c r="G973" s="10"/>
      <c r="H973" s="10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12"/>
      <c r="G974" s="10"/>
      <c r="H974" s="10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12"/>
      <c r="G975" s="10"/>
      <c r="H975" s="10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12"/>
      <c r="G976" s="10"/>
      <c r="H976" s="10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12"/>
      <c r="G977" s="10"/>
      <c r="H977" s="10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12"/>
      <c r="G978" s="10"/>
      <c r="H978" s="10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12"/>
      <c r="G979" s="10"/>
      <c r="H979" s="10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12"/>
      <c r="G980" s="10"/>
      <c r="H980" s="10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12"/>
      <c r="G981" s="10"/>
      <c r="H981" s="10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12"/>
      <c r="G982" s="10"/>
      <c r="H982" s="10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12"/>
      <c r="G983" s="10"/>
      <c r="H983" s="10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12"/>
      <c r="G984" s="10"/>
      <c r="H984" s="10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12"/>
      <c r="G985" s="10"/>
      <c r="H985" s="10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12"/>
      <c r="G986" s="10"/>
      <c r="H986" s="10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12"/>
      <c r="G987" s="10"/>
      <c r="H987" s="10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12"/>
      <c r="G988" s="10"/>
      <c r="H988" s="10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12"/>
      <c r="G989" s="10"/>
      <c r="H989" s="10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12"/>
      <c r="G990" s="10"/>
      <c r="H990" s="10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12"/>
      <c r="G991" s="10"/>
      <c r="H991" s="10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12"/>
      <c r="G992" s="10"/>
      <c r="H992" s="10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12"/>
      <c r="G993" s="10"/>
      <c r="H993" s="10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12"/>
      <c r="G994" s="10"/>
      <c r="H994" s="10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12"/>
      <c r="G995" s="10"/>
      <c r="H995" s="10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12"/>
      <c r="G996" s="10"/>
      <c r="H996" s="10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12"/>
      <c r="G997" s="10"/>
      <c r="H997" s="10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12"/>
      <c r="G998" s="10"/>
      <c r="H998" s="10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12"/>
      <c r="G999" s="10"/>
      <c r="H999" s="10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12"/>
      <c r="G1000" s="10"/>
      <c r="H1000" s="10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</cols>
  <sheetData>
    <row r="1">
      <c r="A1" s="7"/>
      <c r="B1" s="13" t="s">
        <v>263</v>
      </c>
      <c r="C1" s="13" t="s">
        <v>264</v>
      </c>
    </row>
    <row r="2">
      <c r="A2" s="13" t="s">
        <v>265</v>
      </c>
      <c r="B2" s="7">
        <f>COUNTIF(Order_level_Calculation!O:O,"=0")</f>
        <v>16</v>
      </c>
      <c r="C2" s="7">
        <f>SUMIF(Order_level_Calculation!O:O,"=0",Order_level_Calculation!O:O)</f>
        <v>0</v>
      </c>
    </row>
    <row r="3">
      <c r="A3" s="13" t="s">
        <v>266</v>
      </c>
      <c r="B3" s="7">
        <f>COUNTIF(Order_level_Calculation!$O:$O,"&lt;0")</f>
        <v>97</v>
      </c>
      <c r="C3" s="7">
        <f>SUMIF(Order_level_Calculation!O:O,"&lt;0",Order_level_Calculation!O:O)</f>
        <v>-5573.6</v>
      </c>
    </row>
    <row r="4">
      <c r="A4" s="13" t="s">
        <v>267</v>
      </c>
      <c r="B4" s="7">
        <f>COUNTIF(Order_level_Calculation!O:O,"&gt;0")</f>
        <v>11</v>
      </c>
      <c r="C4" s="7">
        <f>SUMIF(Order_level_Calculation!O:O,"&gt;0",Order_level_Calculation!O:O)</f>
        <v>481.5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4" max="4" width="15.63"/>
    <col customWidth="1" min="6" max="6" width="18.88"/>
    <col customWidth="1" min="7" max="7" width="15.13"/>
    <col customWidth="1" min="8" max="8" width="15.38"/>
    <col customWidth="1" min="10" max="10" width="14.38"/>
    <col customWidth="1" min="12" max="12" width="13.88"/>
    <col customWidth="1" min="20" max="20" width="15.25"/>
  </cols>
  <sheetData>
    <row r="1">
      <c r="A1" s="14" t="s">
        <v>268</v>
      </c>
      <c r="B1" s="14" t="s">
        <v>269</v>
      </c>
      <c r="C1" s="14" t="s">
        <v>270</v>
      </c>
      <c r="D1" s="14" t="s">
        <v>271</v>
      </c>
      <c r="E1" s="14" t="s">
        <v>272</v>
      </c>
      <c r="F1" s="14" t="s">
        <v>273</v>
      </c>
      <c r="G1" s="14" t="s">
        <v>274</v>
      </c>
      <c r="H1" s="14" t="s">
        <v>275</v>
      </c>
      <c r="I1" s="14" t="s">
        <v>276</v>
      </c>
      <c r="J1" s="14" t="s">
        <v>277</v>
      </c>
      <c r="K1" s="14" t="s">
        <v>278</v>
      </c>
      <c r="L1" s="14" t="s">
        <v>279</v>
      </c>
      <c r="M1" s="14" t="s">
        <v>280</v>
      </c>
      <c r="N1" s="14" t="s">
        <v>281</v>
      </c>
      <c r="O1" s="14" t="s">
        <v>282</v>
      </c>
      <c r="P1" s="14" t="s">
        <v>283</v>
      </c>
      <c r="Q1" s="14" t="s">
        <v>284</v>
      </c>
      <c r="R1" s="14" t="s">
        <v>285</v>
      </c>
      <c r="S1" s="14" t="s">
        <v>286</v>
      </c>
      <c r="T1" s="14" t="s">
        <v>287</v>
      </c>
      <c r="U1" s="14"/>
      <c r="V1" s="14"/>
      <c r="W1" s="14"/>
      <c r="X1" s="14"/>
      <c r="Y1" s="14"/>
      <c r="Z1" s="14"/>
    </row>
    <row r="2">
      <c r="A2" s="15">
        <v>29.5</v>
      </c>
      <c r="B2" s="15">
        <v>23.6</v>
      </c>
      <c r="C2" s="15">
        <v>33.0</v>
      </c>
      <c r="D2" s="15">
        <v>28.3</v>
      </c>
      <c r="E2" s="15">
        <v>40.1</v>
      </c>
      <c r="F2" s="15">
        <v>38.9</v>
      </c>
      <c r="G2" s="15">
        <v>45.4</v>
      </c>
      <c r="H2" s="15">
        <v>44.8</v>
      </c>
      <c r="I2" s="15">
        <v>56.6</v>
      </c>
      <c r="J2" s="15">
        <v>55.5</v>
      </c>
      <c r="K2" s="15">
        <v>13.6</v>
      </c>
      <c r="L2" s="15">
        <v>23.6</v>
      </c>
      <c r="M2" s="15">
        <v>20.5</v>
      </c>
      <c r="N2" s="15">
        <v>28.3</v>
      </c>
      <c r="O2" s="15">
        <v>31.9</v>
      </c>
      <c r="P2" s="15">
        <v>38.9</v>
      </c>
      <c r="Q2" s="15">
        <v>41.3</v>
      </c>
      <c r="R2" s="15">
        <v>44.8</v>
      </c>
      <c r="S2" s="15">
        <v>50.7</v>
      </c>
      <c r="T2" s="15">
        <v>55.5</v>
      </c>
      <c r="U2" s="15"/>
      <c r="V2" s="15"/>
      <c r="W2" s="15"/>
      <c r="X2" s="15"/>
      <c r="Y2" s="15"/>
      <c r="Z2" s="15"/>
    </row>
    <row r="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 t="s">
        <v>288</v>
      </c>
      <c r="B4" s="16" t="s">
        <v>289</v>
      </c>
      <c r="C4" s="16" t="s">
        <v>290</v>
      </c>
      <c r="D4" s="16" t="s">
        <v>291</v>
      </c>
      <c r="E4" s="16" t="s">
        <v>292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6" t="s">
        <v>293</v>
      </c>
      <c r="B5" s="16">
        <v>29.5</v>
      </c>
      <c r="C5" s="16">
        <v>23.6</v>
      </c>
      <c r="D5" s="16">
        <v>13.6</v>
      </c>
      <c r="E5" s="16">
        <v>23.6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6" t="s">
        <v>294</v>
      </c>
      <c r="B6" s="16">
        <v>33.0</v>
      </c>
      <c r="C6" s="16">
        <v>28.3</v>
      </c>
      <c r="D6" s="16">
        <v>20.5</v>
      </c>
      <c r="E6" s="16">
        <v>28.3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6" t="s">
        <v>295</v>
      </c>
      <c r="B7" s="16">
        <v>40.1</v>
      </c>
      <c r="C7" s="16">
        <v>38.9</v>
      </c>
      <c r="D7" s="16">
        <v>31.9</v>
      </c>
      <c r="E7" s="16">
        <v>38.9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6" t="s">
        <v>296</v>
      </c>
      <c r="B8" s="16">
        <v>45.4</v>
      </c>
      <c r="C8" s="16">
        <v>44.8</v>
      </c>
      <c r="D8" s="16">
        <v>41.3</v>
      </c>
      <c r="E8" s="16">
        <v>44.8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6" t="s">
        <v>297</v>
      </c>
      <c r="B9" s="16">
        <v>56.6</v>
      </c>
      <c r="C9" s="16">
        <v>55.5</v>
      </c>
      <c r="D9" s="16">
        <v>50.7</v>
      </c>
      <c r="E9" s="16">
        <v>55.5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0.75"/>
    <col customWidth="1" min="3" max="3" width="18.88"/>
    <col customWidth="1" min="4" max="4" width="20.75"/>
    <col customWidth="1" min="5" max="5" width="19.0"/>
    <col customWidth="1" min="7" max="7" width="26.88"/>
    <col customWidth="1" min="8" max="8" width="23.0"/>
  </cols>
  <sheetData>
    <row r="1">
      <c r="A1" s="1" t="s">
        <v>298</v>
      </c>
      <c r="B1" s="17" t="s">
        <v>0</v>
      </c>
      <c r="C1" s="17" t="s">
        <v>299</v>
      </c>
      <c r="D1" s="17" t="s">
        <v>300</v>
      </c>
      <c r="E1" s="17" t="s">
        <v>301</v>
      </c>
      <c r="F1" s="17" t="s">
        <v>302</v>
      </c>
      <c r="G1" s="17" t="s">
        <v>9</v>
      </c>
      <c r="H1" s="18" t="s">
        <v>303</v>
      </c>
    </row>
    <row r="2">
      <c r="A2" s="19" t="s">
        <v>16</v>
      </c>
      <c r="B2" s="20" t="s">
        <v>15</v>
      </c>
      <c r="C2" s="20" t="s">
        <v>304</v>
      </c>
      <c r="D2" s="20">
        <v>121003.0</v>
      </c>
      <c r="E2" s="20" t="s">
        <v>305</v>
      </c>
      <c r="F2" s="20" t="s">
        <v>296</v>
      </c>
      <c r="G2" s="20" t="s">
        <v>306</v>
      </c>
      <c r="H2" s="20" t="s">
        <v>307</v>
      </c>
    </row>
    <row r="3">
      <c r="A3" s="19" t="s">
        <v>18</v>
      </c>
      <c r="B3" s="20" t="s">
        <v>17</v>
      </c>
      <c r="C3" s="20" t="s">
        <v>308</v>
      </c>
      <c r="D3" s="20">
        <v>121003.0</v>
      </c>
      <c r="E3" s="20" t="s">
        <v>309</v>
      </c>
      <c r="F3" s="20" t="s">
        <v>296</v>
      </c>
      <c r="G3" s="20" t="s">
        <v>306</v>
      </c>
      <c r="H3" s="20" t="s">
        <v>310</v>
      </c>
    </row>
    <row r="4">
      <c r="A4" s="19" t="s">
        <v>20</v>
      </c>
      <c r="B4" s="20" t="s">
        <v>19</v>
      </c>
      <c r="C4" s="20" t="s">
        <v>311</v>
      </c>
      <c r="D4" s="20">
        <v>121003.0</v>
      </c>
      <c r="E4" s="20" t="s">
        <v>312</v>
      </c>
      <c r="F4" s="20" t="s">
        <v>296</v>
      </c>
      <c r="G4" s="20" t="s">
        <v>306</v>
      </c>
      <c r="H4" s="20" t="s">
        <v>313</v>
      </c>
    </row>
    <row r="5">
      <c r="A5" s="19" t="s">
        <v>22</v>
      </c>
      <c r="B5" s="20" t="s">
        <v>21</v>
      </c>
      <c r="C5" s="20" t="s">
        <v>308</v>
      </c>
      <c r="D5" s="20">
        <v>121003.0</v>
      </c>
      <c r="E5" s="20" t="s">
        <v>314</v>
      </c>
      <c r="F5" s="20" t="s">
        <v>294</v>
      </c>
      <c r="G5" s="20" t="s">
        <v>306</v>
      </c>
      <c r="H5" s="20" t="s">
        <v>315</v>
      </c>
    </row>
    <row r="6">
      <c r="A6" s="19" t="s">
        <v>24</v>
      </c>
      <c r="B6" s="20" t="s">
        <v>23</v>
      </c>
      <c r="C6" s="20" t="s">
        <v>316</v>
      </c>
      <c r="D6" s="20">
        <v>121003.0</v>
      </c>
      <c r="E6" s="20" t="s">
        <v>317</v>
      </c>
      <c r="F6" s="20" t="s">
        <v>296</v>
      </c>
      <c r="G6" s="20" t="s">
        <v>306</v>
      </c>
      <c r="H6" s="20" t="s">
        <v>318</v>
      </c>
    </row>
    <row r="7">
      <c r="A7" s="19" t="s">
        <v>26</v>
      </c>
      <c r="B7" s="20" t="s">
        <v>25</v>
      </c>
      <c r="C7" s="20" t="s">
        <v>316</v>
      </c>
      <c r="D7" s="20">
        <v>121003.0</v>
      </c>
      <c r="E7" s="20" t="s">
        <v>319</v>
      </c>
      <c r="F7" s="20" t="s">
        <v>296</v>
      </c>
      <c r="G7" s="20" t="s">
        <v>306</v>
      </c>
      <c r="H7" s="20" t="s">
        <v>318</v>
      </c>
    </row>
    <row r="8">
      <c r="A8" s="19" t="s">
        <v>28</v>
      </c>
      <c r="B8" s="20" t="s">
        <v>27</v>
      </c>
      <c r="C8" s="20" t="s">
        <v>308</v>
      </c>
      <c r="D8" s="20">
        <v>121003.0</v>
      </c>
      <c r="E8" s="20" t="s">
        <v>320</v>
      </c>
      <c r="F8" s="20" t="s">
        <v>294</v>
      </c>
      <c r="G8" s="20" t="s">
        <v>306</v>
      </c>
      <c r="H8" s="20" t="s">
        <v>315</v>
      </c>
    </row>
    <row r="9">
      <c r="A9" s="19" t="s">
        <v>30</v>
      </c>
      <c r="B9" s="20" t="s">
        <v>29</v>
      </c>
      <c r="C9" s="20" t="s">
        <v>321</v>
      </c>
      <c r="D9" s="20">
        <v>121003.0</v>
      </c>
      <c r="E9" s="20" t="s">
        <v>322</v>
      </c>
      <c r="F9" s="20" t="s">
        <v>294</v>
      </c>
      <c r="G9" s="20" t="s">
        <v>306</v>
      </c>
      <c r="H9" s="20" t="s">
        <v>323</v>
      </c>
    </row>
    <row r="10">
      <c r="A10" s="19" t="s">
        <v>32</v>
      </c>
      <c r="B10" s="20" t="s">
        <v>31</v>
      </c>
      <c r="C10" s="20" t="s">
        <v>324</v>
      </c>
      <c r="D10" s="20">
        <v>121003.0</v>
      </c>
      <c r="E10" s="20" t="s">
        <v>325</v>
      </c>
      <c r="F10" s="20" t="s">
        <v>296</v>
      </c>
      <c r="G10" s="20" t="s">
        <v>306</v>
      </c>
      <c r="H10" s="20" t="s">
        <v>318</v>
      </c>
    </row>
    <row r="11">
      <c r="A11" s="19" t="s">
        <v>34</v>
      </c>
      <c r="B11" s="20" t="s">
        <v>33</v>
      </c>
      <c r="C11" s="20" t="s">
        <v>324</v>
      </c>
      <c r="D11" s="20">
        <v>121003.0</v>
      </c>
      <c r="E11" s="20" t="s">
        <v>326</v>
      </c>
      <c r="F11" s="20" t="s">
        <v>296</v>
      </c>
      <c r="G11" s="20" t="s">
        <v>306</v>
      </c>
      <c r="H11" s="20" t="s">
        <v>318</v>
      </c>
    </row>
    <row r="12">
      <c r="A12" s="19" t="s">
        <v>36</v>
      </c>
      <c r="B12" s="20" t="s">
        <v>35</v>
      </c>
      <c r="C12" s="20" t="s">
        <v>327</v>
      </c>
      <c r="D12" s="20">
        <v>121003.0</v>
      </c>
      <c r="E12" s="20" t="s">
        <v>328</v>
      </c>
      <c r="F12" s="20" t="s">
        <v>294</v>
      </c>
      <c r="G12" s="20" t="s">
        <v>306</v>
      </c>
      <c r="H12" s="20" t="s">
        <v>315</v>
      </c>
    </row>
    <row r="13">
      <c r="A13" s="19" t="s">
        <v>38</v>
      </c>
      <c r="B13" s="20" t="s">
        <v>37</v>
      </c>
      <c r="C13" s="20" t="s">
        <v>329</v>
      </c>
      <c r="D13" s="20">
        <v>121003.0</v>
      </c>
      <c r="E13" s="20" t="s">
        <v>330</v>
      </c>
      <c r="F13" s="20" t="s">
        <v>296</v>
      </c>
      <c r="G13" s="20" t="s">
        <v>306</v>
      </c>
      <c r="H13" s="20" t="s">
        <v>310</v>
      </c>
    </row>
    <row r="14">
      <c r="A14" s="19" t="s">
        <v>40</v>
      </c>
      <c r="B14" s="20" t="s">
        <v>39</v>
      </c>
      <c r="C14" s="20" t="s">
        <v>331</v>
      </c>
      <c r="D14" s="20">
        <v>121003.0</v>
      </c>
      <c r="E14" s="20" t="s">
        <v>332</v>
      </c>
      <c r="F14" s="20" t="s">
        <v>294</v>
      </c>
      <c r="G14" s="20" t="s">
        <v>306</v>
      </c>
      <c r="H14" s="20" t="s">
        <v>323</v>
      </c>
    </row>
    <row r="15">
      <c r="A15" s="19" t="s">
        <v>42</v>
      </c>
      <c r="B15" s="20" t="s">
        <v>41</v>
      </c>
      <c r="C15" s="20" t="s">
        <v>308</v>
      </c>
      <c r="D15" s="20">
        <v>121003.0</v>
      </c>
      <c r="E15" s="20" t="s">
        <v>333</v>
      </c>
      <c r="F15" s="20" t="s">
        <v>296</v>
      </c>
      <c r="G15" s="20" t="s">
        <v>306</v>
      </c>
      <c r="H15" s="20" t="s">
        <v>310</v>
      </c>
    </row>
    <row r="16">
      <c r="A16" s="19" t="s">
        <v>44</v>
      </c>
      <c r="B16" s="20" t="s">
        <v>43</v>
      </c>
      <c r="C16" s="20" t="s">
        <v>316</v>
      </c>
      <c r="D16" s="20">
        <v>121003.0</v>
      </c>
      <c r="E16" s="20" t="s">
        <v>334</v>
      </c>
      <c r="F16" s="20" t="s">
        <v>296</v>
      </c>
      <c r="G16" s="20" t="s">
        <v>306</v>
      </c>
      <c r="H16" s="20" t="s">
        <v>318</v>
      </c>
    </row>
    <row r="17">
      <c r="A17" s="19" t="s">
        <v>46</v>
      </c>
      <c r="B17" s="20" t="s">
        <v>45</v>
      </c>
      <c r="C17" s="20" t="s">
        <v>335</v>
      </c>
      <c r="D17" s="20">
        <v>121003.0</v>
      </c>
      <c r="E17" s="20" t="s">
        <v>336</v>
      </c>
      <c r="F17" s="20" t="s">
        <v>296</v>
      </c>
      <c r="G17" s="20" t="s">
        <v>306</v>
      </c>
      <c r="H17" s="20" t="s">
        <v>307</v>
      </c>
    </row>
    <row r="18">
      <c r="A18" s="19" t="s">
        <v>48</v>
      </c>
      <c r="B18" s="20" t="s">
        <v>47</v>
      </c>
      <c r="C18" s="20" t="s">
        <v>324</v>
      </c>
      <c r="D18" s="20">
        <v>121003.0</v>
      </c>
      <c r="E18" s="20" t="s">
        <v>322</v>
      </c>
      <c r="F18" s="20" t="s">
        <v>294</v>
      </c>
      <c r="G18" s="20" t="s">
        <v>306</v>
      </c>
      <c r="H18" s="20" t="s">
        <v>337</v>
      </c>
    </row>
    <row r="19">
      <c r="A19" s="19" t="s">
        <v>50</v>
      </c>
      <c r="B19" s="20" t="s">
        <v>49</v>
      </c>
      <c r="C19" s="20" t="s">
        <v>327</v>
      </c>
      <c r="D19" s="20">
        <v>121003.0</v>
      </c>
      <c r="E19" s="20" t="s">
        <v>338</v>
      </c>
      <c r="F19" s="20" t="s">
        <v>296</v>
      </c>
      <c r="G19" s="20" t="s">
        <v>306</v>
      </c>
      <c r="H19" s="20" t="s">
        <v>310</v>
      </c>
    </row>
    <row r="20">
      <c r="A20" s="19" t="s">
        <v>52</v>
      </c>
      <c r="B20" s="20" t="s">
        <v>51</v>
      </c>
      <c r="C20" s="20" t="s">
        <v>339</v>
      </c>
      <c r="D20" s="20">
        <v>121003.0</v>
      </c>
      <c r="E20" s="20" t="s">
        <v>340</v>
      </c>
      <c r="F20" s="20" t="s">
        <v>297</v>
      </c>
      <c r="G20" s="20" t="s">
        <v>341</v>
      </c>
      <c r="H20" s="20" t="s">
        <v>342</v>
      </c>
    </row>
    <row r="21">
      <c r="A21" s="19" t="s">
        <v>54</v>
      </c>
      <c r="B21" s="20" t="s">
        <v>53</v>
      </c>
      <c r="C21" s="20" t="s">
        <v>327</v>
      </c>
      <c r="D21" s="20">
        <v>121003.0</v>
      </c>
      <c r="E21" s="20" t="s">
        <v>343</v>
      </c>
      <c r="F21" s="20" t="s">
        <v>294</v>
      </c>
      <c r="G21" s="20" t="s">
        <v>306</v>
      </c>
      <c r="H21" s="20" t="s">
        <v>315</v>
      </c>
    </row>
    <row r="22">
      <c r="A22" s="19" t="s">
        <v>56</v>
      </c>
      <c r="B22" s="20" t="s">
        <v>55</v>
      </c>
      <c r="C22" s="20" t="s">
        <v>344</v>
      </c>
      <c r="D22" s="20">
        <v>121003.0</v>
      </c>
      <c r="E22" s="20" t="s">
        <v>345</v>
      </c>
      <c r="F22" s="20" t="s">
        <v>296</v>
      </c>
      <c r="G22" s="20" t="s">
        <v>306</v>
      </c>
      <c r="H22" s="20" t="s">
        <v>310</v>
      </c>
    </row>
    <row r="23">
      <c r="A23" s="19" t="s">
        <v>58</v>
      </c>
      <c r="B23" s="20" t="s">
        <v>57</v>
      </c>
      <c r="C23" s="20" t="s">
        <v>346</v>
      </c>
      <c r="D23" s="20">
        <v>121003.0</v>
      </c>
      <c r="E23" s="20" t="s">
        <v>347</v>
      </c>
      <c r="F23" s="20" t="s">
        <v>294</v>
      </c>
      <c r="G23" s="20" t="s">
        <v>306</v>
      </c>
      <c r="H23" s="20" t="s">
        <v>323</v>
      </c>
    </row>
    <row r="24">
      <c r="A24" s="19" t="s">
        <v>60</v>
      </c>
      <c r="B24" s="20" t="s">
        <v>59</v>
      </c>
      <c r="C24" s="20" t="s">
        <v>348</v>
      </c>
      <c r="D24" s="20">
        <v>121003.0</v>
      </c>
      <c r="E24" s="20" t="s">
        <v>349</v>
      </c>
      <c r="F24" s="20" t="s">
        <v>296</v>
      </c>
      <c r="G24" s="20" t="s">
        <v>341</v>
      </c>
      <c r="H24" s="20" t="s">
        <v>350</v>
      </c>
    </row>
    <row r="25">
      <c r="A25" s="19" t="s">
        <v>62</v>
      </c>
      <c r="B25" s="20" t="s">
        <v>61</v>
      </c>
      <c r="C25" s="20" t="s">
        <v>351</v>
      </c>
      <c r="D25" s="20">
        <v>121003.0</v>
      </c>
      <c r="E25" s="20" t="s">
        <v>352</v>
      </c>
      <c r="F25" s="20" t="s">
        <v>294</v>
      </c>
      <c r="G25" s="20" t="s">
        <v>341</v>
      </c>
      <c r="H25" s="20" t="s">
        <v>353</v>
      </c>
    </row>
    <row r="26">
      <c r="A26" s="19" t="s">
        <v>64</v>
      </c>
      <c r="B26" s="20" t="s">
        <v>63</v>
      </c>
      <c r="C26" s="20" t="s">
        <v>354</v>
      </c>
      <c r="D26" s="20">
        <v>121003.0</v>
      </c>
      <c r="E26" s="20" t="s">
        <v>355</v>
      </c>
      <c r="F26" s="20" t="s">
        <v>296</v>
      </c>
      <c r="G26" s="20" t="s">
        <v>341</v>
      </c>
      <c r="H26" s="20" t="s">
        <v>350</v>
      </c>
    </row>
    <row r="27">
      <c r="A27" s="19" t="s">
        <v>66</v>
      </c>
      <c r="B27" s="20" t="s">
        <v>65</v>
      </c>
      <c r="C27" s="20" t="s">
        <v>348</v>
      </c>
      <c r="D27" s="20">
        <v>121003.0</v>
      </c>
      <c r="E27" s="20" t="s">
        <v>356</v>
      </c>
      <c r="F27" s="20" t="s">
        <v>296</v>
      </c>
      <c r="G27" s="20" t="s">
        <v>341</v>
      </c>
      <c r="H27" s="20" t="s">
        <v>350</v>
      </c>
    </row>
    <row r="28">
      <c r="A28" s="19" t="s">
        <v>68</v>
      </c>
      <c r="B28" s="20" t="s">
        <v>67</v>
      </c>
      <c r="C28" s="20" t="s">
        <v>357</v>
      </c>
      <c r="D28" s="20">
        <v>121003.0</v>
      </c>
      <c r="E28" s="20" t="s">
        <v>358</v>
      </c>
      <c r="F28" s="20" t="s">
        <v>297</v>
      </c>
      <c r="G28" s="20" t="s">
        <v>341</v>
      </c>
      <c r="H28" s="20" t="s">
        <v>359</v>
      </c>
    </row>
    <row r="29">
      <c r="A29" s="19" t="s">
        <v>70</v>
      </c>
      <c r="B29" s="20" t="s">
        <v>69</v>
      </c>
      <c r="C29" s="20" t="s">
        <v>346</v>
      </c>
      <c r="D29" s="20">
        <v>121003.0</v>
      </c>
      <c r="E29" s="20" t="s">
        <v>360</v>
      </c>
      <c r="F29" s="20" t="s">
        <v>296</v>
      </c>
      <c r="G29" s="20" t="s">
        <v>341</v>
      </c>
      <c r="H29" s="20" t="s">
        <v>361</v>
      </c>
    </row>
    <row r="30">
      <c r="A30" s="19" t="s">
        <v>72</v>
      </c>
      <c r="B30" s="20" t="s">
        <v>71</v>
      </c>
      <c r="C30" s="20" t="s">
        <v>304</v>
      </c>
      <c r="D30" s="20">
        <v>121003.0</v>
      </c>
      <c r="E30" s="20" t="s">
        <v>362</v>
      </c>
      <c r="F30" s="20" t="s">
        <v>294</v>
      </c>
      <c r="G30" s="20" t="s">
        <v>341</v>
      </c>
      <c r="H30" s="20" t="s">
        <v>363</v>
      </c>
    </row>
    <row r="31">
      <c r="A31" s="19" t="s">
        <v>74</v>
      </c>
      <c r="B31" s="20" t="s">
        <v>73</v>
      </c>
      <c r="C31" s="20" t="s">
        <v>348</v>
      </c>
      <c r="D31" s="20">
        <v>121003.0</v>
      </c>
      <c r="E31" s="20" t="s">
        <v>364</v>
      </c>
      <c r="F31" s="20" t="s">
        <v>296</v>
      </c>
      <c r="G31" s="20" t="s">
        <v>341</v>
      </c>
      <c r="H31" s="20" t="s">
        <v>350</v>
      </c>
    </row>
    <row r="32">
      <c r="A32" s="19" t="s">
        <v>76</v>
      </c>
      <c r="B32" s="20" t="s">
        <v>75</v>
      </c>
      <c r="C32" s="20" t="s">
        <v>365</v>
      </c>
      <c r="D32" s="20">
        <v>121003.0</v>
      </c>
      <c r="E32" s="20" t="s">
        <v>366</v>
      </c>
      <c r="F32" s="20" t="s">
        <v>296</v>
      </c>
      <c r="G32" s="20" t="s">
        <v>341</v>
      </c>
      <c r="H32" s="20" t="s">
        <v>367</v>
      </c>
    </row>
    <row r="33">
      <c r="A33" s="19" t="s">
        <v>78</v>
      </c>
      <c r="B33" s="20" t="s">
        <v>77</v>
      </c>
      <c r="C33" s="20" t="s">
        <v>368</v>
      </c>
      <c r="D33" s="20">
        <v>121003.0</v>
      </c>
      <c r="E33" s="20" t="s">
        <v>369</v>
      </c>
      <c r="F33" s="20" t="s">
        <v>296</v>
      </c>
      <c r="G33" s="20" t="s">
        <v>341</v>
      </c>
      <c r="H33" s="20" t="s">
        <v>361</v>
      </c>
    </row>
    <row r="34">
      <c r="A34" s="19" t="s">
        <v>80</v>
      </c>
      <c r="B34" s="20" t="s">
        <v>79</v>
      </c>
      <c r="C34" s="20" t="s">
        <v>351</v>
      </c>
      <c r="D34" s="20">
        <v>121003.0</v>
      </c>
      <c r="E34" s="20" t="s">
        <v>370</v>
      </c>
      <c r="F34" s="20" t="s">
        <v>296</v>
      </c>
      <c r="G34" s="20" t="s">
        <v>341</v>
      </c>
      <c r="H34" s="20" t="s">
        <v>350</v>
      </c>
    </row>
    <row r="35">
      <c r="A35" s="19" t="s">
        <v>82</v>
      </c>
      <c r="B35" s="20" t="s">
        <v>81</v>
      </c>
      <c r="C35" s="20" t="s">
        <v>371</v>
      </c>
      <c r="D35" s="20">
        <v>121003.0</v>
      </c>
      <c r="E35" s="20" t="s">
        <v>372</v>
      </c>
      <c r="F35" s="20" t="s">
        <v>294</v>
      </c>
      <c r="G35" s="20" t="s">
        <v>306</v>
      </c>
      <c r="H35" s="20" t="s">
        <v>373</v>
      </c>
    </row>
    <row r="36">
      <c r="A36" s="19" t="s">
        <v>84</v>
      </c>
      <c r="B36" s="20" t="s">
        <v>83</v>
      </c>
      <c r="C36" s="20" t="s">
        <v>374</v>
      </c>
      <c r="D36" s="20">
        <v>121003.0</v>
      </c>
      <c r="E36" s="20" t="s">
        <v>375</v>
      </c>
      <c r="F36" s="20" t="s">
        <v>296</v>
      </c>
      <c r="G36" s="20" t="s">
        <v>306</v>
      </c>
      <c r="H36" s="20" t="s">
        <v>310</v>
      </c>
    </row>
    <row r="37">
      <c r="A37" s="19" t="s">
        <v>86</v>
      </c>
      <c r="B37" s="20" t="s">
        <v>85</v>
      </c>
      <c r="C37" s="20" t="s">
        <v>376</v>
      </c>
      <c r="D37" s="20">
        <v>121003.0</v>
      </c>
      <c r="E37" s="20" t="s">
        <v>377</v>
      </c>
      <c r="F37" s="20" t="s">
        <v>296</v>
      </c>
      <c r="G37" s="20" t="s">
        <v>306</v>
      </c>
      <c r="H37" s="20" t="s">
        <v>310</v>
      </c>
    </row>
    <row r="38">
      <c r="A38" s="19" t="s">
        <v>88</v>
      </c>
      <c r="B38" s="20" t="s">
        <v>87</v>
      </c>
      <c r="C38" s="20" t="s">
        <v>378</v>
      </c>
      <c r="D38" s="20">
        <v>121003.0</v>
      </c>
      <c r="E38" s="20" t="s">
        <v>379</v>
      </c>
      <c r="F38" s="20" t="s">
        <v>294</v>
      </c>
      <c r="G38" s="20" t="s">
        <v>306</v>
      </c>
      <c r="H38" s="20" t="s">
        <v>315</v>
      </c>
    </row>
    <row r="39">
      <c r="A39" s="19" t="s">
        <v>90</v>
      </c>
      <c r="B39" s="20" t="s">
        <v>89</v>
      </c>
      <c r="C39" s="20" t="s">
        <v>380</v>
      </c>
      <c r="D39" s="20">
        <v>121003.0</v>
      </c>
      <c r="E39" s="20" t="s">
        <v>381</v>
      </c>
      <c r="F39" s="20" t="s">
        <v>296</v>
      </c>
      <c r="G39" s="20" t="s">
        <v>306</v>
      </c>
      <c r="H39" s="20" t="s">
        <v>307</v>
      </c>
    </row>
    <row r="40">
      <c r="A40" s="19" t="s">
        <v>92</v>
      </c>
      <c r="B40" s="20" t="s">
        <v>91</v>
      </c>
      <c r="C40" s="20" t="s">
        <v>348</v>
      </c>
      <c r="D40" s="20">
        <v>121003.0</v>
      </c>
      <c r="E40" s="20" t="s">
        <v>382</v>
      </c>
      <c r="F40" s="20" t="s">
        <v>296</v>
      </c>
      <c r="G40" s="20" t="s">
        <v>306</v>
      </c>
      <c r="H40" s="20" t="s">
        <v>310</v>
      </c>
    </row>
    <row r="41">
      <c r="A41" s="19" t="s">
        <v>94</v>
      </c>
      <c r="B41" s="20" t="s">
        <v>93</v>
      </c>
      <c r="C41" s="20" t="s">
        <v>383</v>
      </c>
      <c r="D41" s="20">
        <v>121003.0</v>
      </c>
      <c r="E41" s="20" t="s">
        <v>384</v>
      </c>
      <c r="F41" s="20" t="s">
        <v>296</v>
      </c>
      <c r="G41" s="20" t="s">
        <v>306</v>
      </c>
      <c r="H41" s="20" t="s">
        <v>310</v>
      </c>
    </row>
    <row r="42">
      <c r="A42" s="19" t="s">
        <v>96</v>
      </c>
      <c r="B42" s="20" t="s">
        <v>95</v>
      </c>
      <c r="C42" s="20" t="s">
        <v>374</v>
      </c>
      <c r="D42" s="20">
        <v>121003.0</v>
      </c>
      <c r="E42" s="20" t="s">
        <v>385</v>
      </c>
      <c r="F42" s="20" t="s">
        <v>296</v>
      </c>
      <c r="G42" s="20" t="s">
        <v>306</v>
      </c>
      <c r="H42" s="20" t="s">
        <v>310</v>
      </c>
    </row>
    <row r="43">
      <c r="A43" s="19" t="s">
        <v>98</v>
      </c>
      <c r="B43" s="20" t="s">
        <v>97</v>
      </c>
      <c r="C43" s="20" t="s">
        <v>308</v>
      </c>
      <c r="D43" s="20">
        <v>121003.0</v>
      </c>
      <c r="E43" s="20" t="s">
        <v>386</v>
      </c>
      <c r="F43" s="20" t="s">
        <v>294</v>
      </c>
      <c r="G43" s="20" t="s">
        <v>306</v>
      </c>
      <c r="H43" s="20" t="s">
        <v>315</v>
      </c>
    </row>
    <row r="44">
      <c r="A44" s="19" t="s">
        <v>100</v>
      </c>
      <c r="B44" s="20" t="s">
        <v>99</v>
      </c>
      <c r="C44" s="20" t="s">
        <v>387</v>
      </c>
      <c r="D44" s="20">
        <v>121003.0</v>
      </c>
      <c r="E44" s="20" t="s">
        <v>388</v>
      </c>
      <c r="F44" s="20" t="s">
        <v>296</v>
      </c>
      <c r="G44" s="20" t="s">
        <v>306</v>
      </c>
      <c r="H44" s="20" t="s">
        <v>307</v>
      </c>
    </row>
    <row r="45">
      <c r="A45" s="19" t="s">
        <v>102</v>
      </c>
      <c r="B45" s="20" t="s">
        <v>101</v>
      </c>
      <c r="C45" s="20" t="s">
        <v>374</v>
      </c>
      <c r="D45" s="20">
        <v>121003.0</v>
      </c>
      <c r="E45" s="20" t="s">
        <v>389</v>
      </c>
      <c r="F45" s="20" t="s">
        <v>294</v>
      </c>
      <c r="G45" s="20" t="s">
        <v>306</v>
      </c>
      <c r="H45" s="20" t="s">
        <v>315</v>
      </c>
    </row>
    <row r="46">
      <c r="A46" s="19" t="s">
        <v>104</v>
      </c>
      <c r="B46" s="20" t="s">
        <v>103</v>
      </c>
      <c r="C46" s="20" t="s">
        <v>331</v>
      </c>
      <c r="D46" s="20">
        <v>121003.0</v>
      </c>
      <c r="E46" s="20" t="s">
        <v>390</v>
      </c>
      <c r="F46" s="20" t="s">
        <v>294</v>
      </c>
      <c r="G46" s="20" t="s">
        <v>306</v>
      </c>
      <c r="H46" s="20" t="s">
        <v>323</v>
      </c>
    </row>
    <row r="47">
      <c r="A47" s="19" t="s">
        <v>106</v>
      </c>
      <c r="B47" s="20" t="s">
        <v>105</v>
      </c>
      <c r="C47" s="20" t="s">
        <v>383</v>
      </c>
      <c r="D47" s="20">
        <v>121003.0</v>
      </c>
      <c r="E47" s="20" t="s">
        <v>391</v>
      </c>
      <c r="F47" s="20" t="s">
        <v>296</v>
      </c>
      <c r="G47" s="20" t="s">
        <v>306</v>
      </c>
      <c r="H47" s="20" t="s">
        <v>310</v>
      </c>
    </row>
    <row r="48">
      <c r="A48" s="19" t="s">
        <v>108</v>
      </c>
      <c r="B48" s="20" t="s">
        <v>107</v>
      </c>
      <c r="C48" s="20" t="s">
        <v>368</v>
      </c>
      <c r="D48" s="20">
        <v>121003.0</v>
      </c>
      <c r="E48" s="20" t="s">
        <v>392</v>
      </c>
      <c r="F48" s="20" t="s">
        <v>296</v>
      </c>
      <c r="G48" s="20" t="s">
        <v>306</v>
      </c>
      <c r="H48" s="20" t="s">
        <v>307</v>
      </c>
    </row>
    <row r="49">
      <c r="A49" s="19" t="s">
        <v>110</v>
      </c>
      <c r="B49" s="20" t="s">
        <v>109</v>
      </c>
      <c r="C49" s="20" t="s">
        <v>383</v>
      </c>
      <c r="D49" s="20">
        <v>121003.0</v>
      </c>
      <c r="E49" s="20" t="s">
        <v>393</v>
      </c>
      <c r="F49" s="20" t="s">
        <v>296</v>
      </c>
      <c r="G49" s="20" t="s">
        <v>306</v>
      </c>
      <c r="H49" s="20" t="s">
        <v>310</v>
      </c>
    </row>
    <row r="50">
      <c r="A50" s="19" t="s">
        <v>112</v>
      </c>
      <c r="B50" s="20" t="s">
        <v>111</v>
      </c>
      <c r="C50" s="20" t="s">
        <v>374</v>
      </c>
      <c r="D50" s="20">
        <v>121003.0</v>
      </c>
      <c r="E50" s="20" t="s">
        <v>394</v>
      </c>
      <c r="F50" s="20" t="s">
        <v>296</v>
      </c>
      <c r="G50" s="20" t="s">
        <v>306</v>
      </c>
      <c r="H50" s="20" t="s">
        <v>310</v>
      </c>
    </row>
    <row r="51">
      <c r="A51" s="19" t="s">
        <v>114</v>
      </c>
      <c r="B51" s="20" t="s">
        <v>113</v>
      </c>
      <c r="C51" s="20" t="s">
        <v>395</v>
      </c>
      <c r="D51" s="20">
        <v>121003.0</v>
      </c>
      <c r="E51" s="20" t="s">
        <v>396</v>
      </c>
      <c r="F51" s="20" t="s">
        <v>294</v>
      </c>
      <c r="G51" s="20" t="s">
        <v>306</v>
      </c>
      <c r="H51" s="20" t="s">
        <v>373</v>
      </c>
    </row>
    <row r="52">
      <c r="A52" s="19" t="s">
        <v>116</v>
      </c>
      <c r="B52" s="20" t="s">
        <v>115</v>
      </c>
      <c r="C52" s="20" t="s">
        <v>397</v>
      </c>
      <c r="D52" s="20">
        <v>121003.0</v>
      </c>
      <c r="E52" s="20" t="s">
        <v>389</v>
      </c>
      <c r="F52" s="20" t="s">
        <v>294</v>
      </c>
      <c r="G52" s="20" t="s">
        <v>306</v>
      </c>
      <c r="H52" s="20" t="s">
        <v>323</v>
      </c>
    </row>
    <row r="53">
      <c r="A53" s="19" t="s">
        <v>118</v>
      </c>
      <c r="B53" s="20" t="s">
        <v>117</v>
      </c>
      <c r="C53" s="20" t="s">
        <v>374</v>
      </c>
      <c r="D53" s="20">
        <v>121003.0</v>
      </c>
      <c r="E53" s="20" t="s">
        <v>398</v>
      </c>
      <c r="F53" s="20" t="s">
        <v>296</v>
      </c>
      <c r="G53" s="20" t="s">
        <v>306</v>
      </c>
      <c r="H53" s="20" t="s">
        <v>310</v>
      </c>
    </row>
    <row r="54">
      <c r="A54" s="19" t="s">
        <v>120</v>
      </c>
      <c r="B54" s="20" t="s">
        <v>119</v>
      </c>
      <c r="C54" s="20" t="s">
        <v>399</v>
      </c>
      <c r="D54" s="20">
        <v>121003.0</v>
      </c>
      <c r="E54" s="20" t="s">
        <v>400</v>
      </c>
      <c r="F54" s="20" t="s">
        <v>296</v>
      </c>
      <c r="G54" s="20" t="s">
        <v>306</v>
      </c>
      <c r="H54" s="20" t="s">
        <v>401</v>
      </c>
    </row>
    <row r="55">
      <c r="A55" s="19" t="s">
        <v>122</v>
      </c>
      <c r="B55" s="20" t="s">
        <v>121</v>
      </c>
      <c r="C55" s="20" t="s">
        <v>402</v>
      </c>
      <c r="D55" s="20">
        <v>121003.0</v>
      </c>
      <c r="E55" s="20" t="s">
        <v>403</v>
      </c>
      <c r="F55" s="20" t="s">
        <v>296</v>
      </c>
      <c r="G55" s="20" t="s">
        <v>306</v>
      </c>
      <c r="H55" s="20" t="s">
        <v>310</v>
      </c>
    </row>
    <row r="56">
      <c r="A56" s="19" t="s">
        <v>124</v>
      </c>
      <c r="B56" s="20" t="s">
        <v>123</v>
      </c>
      <c r="C56" s="20" t="s">
        <v>404</v>
      </c>
      <c r="D56" s="20">
        <v>121003.0</v>
      </c>
      <c r="E56" s="20" t="s">
        <v>405</v>
      </c>
      <c r="F56" s="20" t="s">
        <v>296</v>
      </c>
      <c r="G56" s="20" t="s">
        <v>306</v>
      </c>
      <c r="H56" s="20" t="s">
        <v>401</v>
      </c>
    </row>
    <row r="57">
      <c r="A57" s="19" t="s">
        <v>126</v>
      </c>
      <c r="B57" s="20" t="s">
        <v>125</v>
      </c>
      <c r="C57" s="20" t="s">
        <v>308</v>
      </c>
      <c r="D57" s="20">
        <v>121003.0</v>
      </c>
      <c r="E57" s="20" t="s">
        <v>406</v>
      </c>
      <c r="F57" s="20" t="s">
        <v>294</v>
      </c>
      <c r="G57" s="20" t="s">
        <v>306</v>
      </c>
      <c r="H57" s="20" t="s">
        <v>315</v>
      </c>
    </row>
    <row r="58">
      <c r="A58" s="19" t="s">
        <v>128</v>
      </c>
      <c r="B58" s="20" t="s">
        <v>127</v>
      </c>
      <c r="C58" s="20" t="s">
        <v>407</v>
      </c>
      <c r="D58" s="20">
        <v>121003.0</v>
      </c>
      <c r="E58" s="20" t="s">
        <v>408</v>
      </c>
      <c r="F58" s="20" t="s">
        <v>294</v>
      </c>
      <c r="G58" s="20" t="s">
        <v>306</v>
      </c>
      <c r="H58" s="20" t="s">
        <v>323</v>
      </c>
    </row>
    <row r="59">
      <c r="A59" s="19" t="s">
        <v>130</v>
      </c>
      <c r="B59" s="20" t="s">
        <v>129</v>
      </c>
      <c r="C59" s="20" t="s">
        <v>407</v>
      </c>
      <c r="D59" s="20">
        <v>121003.0</v>
      </c>
      <c r="E59" s="20" t="s">
        <v>409</v>
      </c>
      <c r="F59" s="20" t="s">
        <v>296</v>
      </c>
      <c r="G59" s="20" t="s">
        <v>306</v>
      </c>
      <c r="H59" s="20" t="s">
        <v>307</v>
      </c>
    </row>
    <row r="60">
      <c r="A60" s="19" t="s">
        <v>132</v>
      </c>
      <c r="B60" s="20" t="s">
        <v>131</v>
      </c>
      <c r="C60" s="20" t="s">
        <v>410</v>
      </c>
      <c r="D60" s="20">
        <v>121003.0</v>
      </c>
      <c r="E60" s="20" t="s">
        <v>411</v>
      </c>
      <c r="F60" s="20" t="s">
        <v>296</v>
      </c>
      <c r="G60" s="20" t="s">
        <v>306</v>
      </c>
      <c r="H60" s="20" t="s">
        <v>412</v>
      </c>
    </row>
    <row r="61">
      <c r="A61" s="19" t="s">
        <v>134</v>
      </c>
      <c r="B61" s="20" t="s">
        <v>133</v>
      </c>
      <c r="C61" s="20" t="s">
        <v>413</v>
      </c>
      <c r="D61" s="20">
        <v>121003.0</v>
      </c>
      <c r="E61" s="20" t="s">
        <v>414</v>
      </c>
      <c r="F61" s="20" t="s">
        <v>296</v>
      </c>
      <c r="G61" s="20" t="s">
        <v>306</v>
      </c>
      <c r="H61" s="20" t="s">
        <v>401</v>
      </c>
    </row>
    <row r="62">
      <c r="A62" s="19" t="s">
        <v>136</v>
      </c>
      <c r="B62" s="20" t="s">
        <v>135</v>
      </c>
      <c r="C62" s="20" t="s">
        <v>327</v>
      </c>
      <c r="D62" s="20">
        <v>121003.0</v>
      </c>
      <c r="E62" s="20" t="s">
        <v>415</v>
      </c>
      <c r="F62" s="20" t="s">
        <v>296</v>
      </c>
      <c r="G62" s="20" t="s">
        <v>306</v>
      </c>
      <c r="H62" s="20" t="s">
        <v>310</v>
      </c>
    </row>
    <row r="63">
      <c r="A63" s="19" t="s">
        <v>138</v>
      </c>
      <c r="B63" s="20" t="s">
        <v>137</v>
      </c>
      <c r="C63" s="20" t="s">
        <v>324</v>
      </c>
      <c r="D63" s="20">
        <v>121003.0</v>
      </c>
      <c r="E63" s="20" t="s">
        <v>416</v>
      </c>
      <c r="F63" s="20" t="s">
        <v>296</v>
      </c>
      <c r="G63" s="20" t="s">
        <v>306</v>
      </c>
      <c r="H63" s="20" t="s">
        <v>318</v>
      </c>
    </row>
    <row r="64">
      <c r="A64" s="19" t="s">
        <v>140</v>
      </c>
      <c r="B64" s="20" t="s">
        <v>139</v>
      </c>
      <c r="C64" s="20" t="s">
        <v>417</v>
      </c>
      <c r="D64" s="20">
        <v>121003.0</v>
      </c>
      <c r="E64" s="20" t="s">
        <v>418</v>
      </c>
      <c r="F64" s="20" t="s">
        <v>296</v>
      </c>
      <c r="G64" s="20" t="s">
        <v>306</v>
      </c>
      <c r="H64" s="20" t="s">
        <v>310</v>
      </c>
    </row>
    <row r="65">
      <c r="A65" s="19" t="s">
        <v>142</v>
      </c>
      <c r="B65" s="20" t="s">
        <v>141</v>
      </c>
      <c r="C65" s="20" t="s">
        <v>357</v>
      </c>
      <c r="D65" s="20">
        <v>121003.0</v>
      </c>
      <c r="E65" s="20" t="s">
        <v>419</v>
      </c>
      <c r="F65" s="20" t="s">
        <v>296</v>
      </c>
      <c r="G65" s="20" t="s">
        <v>306</v>
      </c>
      <c r="H65" s="20" t="s">
        <v>310</v>
      </c>
    </row>
    <row r="66">
      <c r="A66" s="19" t="s">
        <v>144</v>
      </c>
      <c r="B66" s="20" t="s">
        <v>143</v>
      </c>
      <c r="C66" s="20" t="s">
        <v>420</v>
      </c>
      <c r="D66" s="20">
        <v>121003.0</v>
      </c>
      <c r="E66" s="20" t="s">
        <v>421</v>
      </c>
      <c r="F66" s="20" t="s">
        <v>296</v>
      </c>
      <c r="G66" s="20" t="s">
        <v>306</v>
      </c>
      <c r="H66" s="20" t="s">
        <v>310</v>
      </c>
    </row>
    <row r="67">
      <c r="A67" s="19" t="s">
        <v>146</v>
      </c>
      <c r="B67" s="20" t="s">
        <v>145</v>
      </c>
      <c r="C67" s="20" t="s">
        <v>420</v>
      </c>
      <c r="D67" s="20">
        <v>121003.0</v>
      </c>
      <c r="E67" s="20" t="s">
        <v>422</v>
      </c>
      <c r="F67" s="20" t="s">
        <v>296</v>
      </c>
      <c r="G67" s="20" t="s">
        <v>306</v>
      </c>
      <c r="H67" s="20" t="s">
        <v>310</v>
      </c>
    </row>
    <row r="68">
      <c r="A68" s="19" t="s">
        <v>148</v>
      </c>
      <c r="B68" s="20" t="s">
        <v>147</v>
      </c>
      <c r="C68" s="20" t="s">
        <v>351</v>
      </c>
      <c r="D68" s="20">
        <v>121003.0</v>
      </c>
      <c r="E68" s="20" t="s">
        <v>423</v>
      </c>
      <c r="F68" s="20" t="s">
        <v>296</v>
      </c>
      <c r="G68" s="20" t="s">
        <v>306</v>
      </c>
      <c r="H68" s="20" t="s">
        <v>310</v>
      </c>
    </row>
    <row r="69">
      <c r="A69" s="19" t="s">
        <v>150</v>
      </c>
      <c r="B69" s="20" t="s">
        <v>149</v>
      </c>
      <c r="C69" s="20" t="s">
        <v>424</v>
      </c>
      <c r="D69" s="20">
        <v>121003.0</v>
      </c>
      <c r="E69" s="20" t="s">
        <v>425</v>
      </c>
      <c r="F69" s="20" t="s">
        <v>296</v>
      </c>
      <c r="G69" s="20" t="s">
        <v>306</v>
      </c>
      <c r="H69" s="20" t="s">
        <v>310</v>
      </c>
    </row>
    <row r="70">
      <c r="A70" s="19" t="s">
        <v>152</v>
      </c>
      <c r="B70" s="20" t="s">
        <v>151</v>
      </c>
      <c r="C70" s="20" t="s">
        <v>357</v>
      </c>
      <c r="D70" s="20">
        <v>121003.0</v>
      </c>
      <c r="E70" s="20" t="s">
        <v>426</v>
      </c>
      <c r="F70" s="20" t="s">
        <v>296</v>
      </c>
      <c r="G70" s="20" t="s">
        <v>306</v>
      </c>
      <c r="H70" s="20" t="s">
        <v>310</v>
      </c>
    </row>
    <row r="71">
      <c r="A71" s="19" t="s">
        <v>154</v>
      </c>
      <c r="B71" s="20" t="s">
        <v>153</v>
      </c>
      <c r="C71" s="20" t="s">
        <v>324</v>
      </c>
      <c r="D71" s="20">
        <v>121003.0</v>
      </c>
      <c r="E71" s="20" t="s">
        <v>427</v>
      </c>
      <c r="F71" s="20" t="s">
        <v>296</v>
      </c>
      <c r="G71" s="20" t="s">
        <v>341</v>
      </c>
      <c r="H71" s="20" t="s">
        <v>428</v>
      </c>
    </row>
    <row r="72">
      <c r="A72" s="19" t="s">
        <v>156</v>
      </c>
      <c r="B72" s="20" t="s">
        <v>155</v>
      </c>
      <c r="C72" s="20" t="s">
        <v>429</v>
      </c>
      <c r="D72" s="20">
        <v>121003.0</v>
      </c>
      <c r="E72" s="20" t="s">
        <v>430</v>
      </c>
      <c r="F72" s="20" t="s">
        <v>296</v>
      </c>
      <c r="G72" s="20" t="s">
        <v>306</v>
      </c>
      <c r="H72" s="20" t="s">
        <v>412</v>
      </c>
    </row>
    <row r="73">
      <c r="A73" s="19" t="s">
        <v>158</v>
      </c>
      <c r="B73" s="20" t="s">
        <v>157</v>
      </c>
      <c r="C73" s="20" t="s">
        <v>308</v>
      </c>
      <c r="D73" s="20">
        <v>121003.0</v>
      </c>
      <c r="E73" s="20" t="s">
        <v>431</v>
      </c>
      <c r="F73" s="20" t="s">
        <v>296</v>
      </c>
      <c r="G73" s="20" t="s">
        <v>306</v>
      </c>
      <c r="H73" s="20" t="s">
        <v>310</v>
      </c>
    </row>
    <row r="74">
      <c r="A74" s="19" t="s">
        <v>160</v>
      </c>
      <c r="B74" s="20" t="s">
        <v>159</v>
      </c>
      <c r="C74" s="20" t="s">
        <v>432</v>
      </c>
      <c r="D74" s="20">
        <v>121003.0</v>
      </c>
      <c r="E74" s="20" t="s">
        <v>426</v>
      </c>
      <c r="F74" s="20" t="s">
        <v>296</v>
      </c>
      <c r="G74" s="20" t="s">
        <v>306</v>
      </c>
      <c r="H74" s="20" t="s">
        <v>310</v>
      </c>
    </row>
    <row r="75">
      <c r="A75" s="19" t="s">
        <v>162</v>
      </c>
      <c r="B75" s="20" t="s">
        <v>161</v>
      </c>
      <c r="C75" s="20" t="s">
        <v>316</v>
      </c>
      <c r="D75" s="20">
        <v>121003.0</v>
      </c>
      <c r="E75" s="20" t="s">
        <v>433</v>
      </c>
      <c r="F75" s="20" t="s">
        <v>296</v>
      </c>
      <c r="G75" s="20" t="s">
        <v>341</v>
      </c>
      <c r="H75" s="20" t="s">
        <v>428</v>
      </c>
    </row>
    <row r="76">
      <c r="A76" s="19" t="s">
        <v>164</v>
      </c>
      <c r="B76" s="20" t="s">
        <v>163</v>
      </c>
      <c r="C76" s="20" t="s">
        <v>339</v>
      </c>
      <c r="D76" s="20">
        <v>121003.0</v>
      </c>
      <c r="E76" s="20" t="s">
        <v>434</v>
      </c>
      <c r="F76" s="20" t="s">
        <v>296</v>
      </c>
      <c r="G76" s="20" t="s">
        <v>306</v>
      </c>
      <c r="H76" s="20" t="s">
        <v>318</v>
      </c>
    </row>
    <row r="77">
      <c r="A77" s="19" t="s">
        <v>166</v>
      </c>
      <c r="B77" s="20" t="s">
        <v>165</v>
      </c>
      <c r="C77" s="20" t="s">
        <v>348</v>
      </c>
      <c r="D77" s="20">
        <v>121003.0</v>
      </c>
      <c r="E77" s="20" t="s">
        <v>434</v>
      </c>
      <c r="F77" s="20" t="s">
        <v>296</v>
      </c>
      <c r="G77" s="20" t="s">
        <v>306</v>
      </c>
      <c r="H77" s="20" t="s">
        <v>310</v>
      </c>
    </row>
    <row r="78">
      <c r="A78" s="19" t="s">
        <v>168</v>
      </c>
      <c r="B78" s="20" t="s">
        <v>167</v>
      </c>
      <c r="C78" s="20" t="s">
        <v>324</v>
      </c>
      <c r="D78" s="20">
        <v>121003.0</v>
      </c>
      <c r="E78" s="20" t="s">
        <v>435</v>
      </c>
      <c r="F78" s="20" t="s">
        <v>296</v>
      </c>
      <c r="G78" s="20" t="s">
        <v>306</v>
      </c>
      <c r="H78" s="20" t="s">
        <v>318</v>
      </c>
    </row>
    <row r="79">
      <c r="A79" s="19" t="s">
        <v>170</v>
      </c>
      <c r="B79" s="20" t="s">
        <v>169</v>
      </c>
      <c r="C79" s="20" t="s">
        <v>436</v>
      </c>
      <c r="D79" s="20">
        <v>121003.0</v>
      </c>
      <c r="E79" s="20" t="s">
        <v>431</v>
      </c>
      <c r="F79" s="20" t="s">
        <v>296</v>
      </c>
      <c r="G79" s="20" t="s">
        <v>306</v>
      </c>
      <c r="H79" s="20" t="s">
        <v>313</v>
      </c>
    </row>
    <row r="80">
      <c r="A80" s="19" t="s">
        <v>172</v>
      </c>
      <c r="B80" s="20" t="s">
        <v>171</v>
      </c>
      <c r="C80" s="20" t="s">
        <v>339</v>
      </c>
      <c r="D80" s="20">
        <v>121003.0</v>
      </c>
      <c r="E80" s="20" t="s">
        <v>431</v>
      </c>
      <c r="F80" s="20" t="s">
        <v>296</v>
      </c>
      <c r="G80" s="20" t="s">
        <v>306</v>
      </c>
      <c r="H80" s="20" t="s">
        <v>318</v>
      </c>
    </row>
    <row r="81">
      <c r="A81" s="19" t="s">
        <v>174</v>
      </c>
      <c r="B81" s="20" t="s">
        <v>173</v>
      </c>
      <c r="C81" s="20" t="s">
        <v>339</v>
      </c>
      <c r="D81" s="20">
        <v>121003.0</v>
      </c>
      <c r="E81" s="20" t="s">
        <v>437</v>
      </c>
      <c r="F81" s="20" t="s">
        <v>296</v>
      </c>
      <c r="G81" s="20" t="s">
        <v>306</v>
      </c>
      <c r="H81" s="20" t="s">
        <v>318</v>
      </c>
    </row>
    <row r="82">
      <c r="A82" s="19" t="s">
        <v>176</v>
      </c>
      <c r="B82" s="20" t="s">
        <v>175</v>
      </c>
      <c r="C82" s="20" t="s">
        <v>316</v>
      </c>
      <c r="D82" s="20">
        <v>121003.0</v>
      </c>
      <c r="E82" s="20" t="s">
        <v>438</v>
      </c>
      <c r="F82" s="20" t="s">
        <v>296</v>
      </c>
      <c r="G82" s="20" t="s">
        <v>306</v>
      </c>
      <c r="H82" s="20" t="s">
        <v>318</v>
      </c>
    </row>
    <row r="83">
      <c r="A83" s="19" t="s">
        <v>178</v>
      </c>
      <c r="B83" s="20" t="s">
        <v>177</v>
      </c>
      <c r="C83" s="20" t="s">
        <v>357</v>
      </c>
      <c r="D83" s="20">
        <v>121003.0</v>
      </c>
      <c r="E83" s="20" t="s">
        <v>439</v>
      </c>
      <c r="F83" s="20" t="s">
        <v>296</v>
      </c>
      <c r="G83" s="20" t="s">
        <v>306</v>
      </c>
      <c r="H83" s="20" t="s">
        <v>310</v>
      </c>
    </row>
    <row r="84">
      <c r="A84" s="19" t="s">
        <v>180</v>
      </c>
      <c r="B84" s="20" t="s">
        <v>179</v>
      </c>
      <c r="C84" s="20" t="s">
        <v>339</v>
      </c>
      <c r="D84" s="20">
        <v>121003.0</v>
      </c>
      <c r="E84" s="20" t="s">
        <v>431</v>
      </c>
      <c r="F84" s="20" t="s">
        <v>296</v>
      </c>
      <c r="G84" s="20" t="s">
        <v>306</v>
      </c>
      <c r="H84" s="20" t="s">
        <v>318</v>
      </c>
    </row>
    <row r="85">
      <c r="A85" s="19" t="s">
        <v>182</v>
      </c>
      <c r="B85" s="20" t="s">
        <v>181</v>
      </c>
      <c r="C85" s="20" t="s">
        <v>324</v>
      </c>
      <c r="D85" s="20">
        <v>121003.0</v>
      </c>
      <c r="E85" s="20" t="s">
        <v>440</v>
      </c>
      <c r="F85" s="20" t="s">
        <v>296</v>
      </c>
      <c r="G85" s="20" t="s">
        <v>306</v>
      </c>
      <c r="H85" s="20" t="s">
        <v>318</v>
      </c>
    </row>
    <row r="86">
      <c r="A86" s="19" t="s">
        <v>184</v>
      </c>
      <c r="B86" s="20" t="s">
        <v>183</v>
      </c>
      <c r="C86" s="20" t="s">
        <v>351</v>
      </c>
      <c r="D86" s="20">
        <v>121003.0</v>
      </c>
      <c r="E86" s="20" t="s">
        <v>441</v>
      </c>
      <c r="F86" s="20" t="s">
        <v>296</v>
      </c>
      <c r="G86" s="20" t="s">
        <v>306</v>
      </c>
      <c r="H86" s="20" t="s">
        <v>310</v>
      </c>
    </row>
    <row r="87">
      <c r="A87" s="19" t="s">
        <v>186</v>
      </c>
      <c r="B87" s="20" t="s">
        <v>185</v>
      </c>
      <c r="C87" s="20" t="s">
        <v>442</v>
      </c>
      <c r="D87" s="20">
        <v>121003.0</v>
      </c>
      <c r="E87" s="20" t="s">
        <v>443</v>
      </c>
      <c r="F87" s="20" t="s">
        <v>296</v>
      </c>
      <c r="G87" s="20" t="s">
        <v>306</v>
      </c>
      <c r="H87" s="20" t="s">
        <v>307</v>
      </c>
    </row>
    <row r="88">
      <c r="A88" s="19" t="s">
        <v>188</v>
      </c>
      <c r="B88" s="20" t="s">
        <v>187</v>
      </c>
      <c r="C88" s="20" t="s">
        <v>316</v>
      </c>
      <c r="D88" s="20">
        <v>121003.0</v>
      </c>
      <c r="E88" s="20" t="s">
        <v>444</v>
      </c>
      <c r="F88" s="20" t="s">
        <v>296</v>
      </c>
      <c r="G88" s="20" t="s">
        <v>306</v>
      </c>
      <c r="H88" s="20" t="s">
        <v>318</v>
      </c>
    </row>
    <row r="89">
      <c r="A89" s="19" t="s">
        <v>190</v>
      </c>
      <c r="B89" s="20" t="s">
        <v>189</v>
      </c>
      <c r="C89" s="20" t="s">
        <v>357</v>
      </c>
      <c r="D89" s="20">
        <v>121003.0</v>
      </c>
      <c r="E89" s="20" t="s">
        <v>445</v>
      </c>
      <c r="F89" s="20" t="s">
        <v>294</v>
      </c>
      <c r="G89" s="20" t="s">
        <v>306</v>
      </c>
      <c r="H89" s="20" t="s">
        <v>315</v>
      </c>
    </row>
    <row r="90">
      <c r="A90" s="19" t="s">
        <v>192</v>
      </c>
      <c r="B90" s="20" t="s">
        <v>191</v>
      </c>
      <c r="C90" s="20" t="s">
        <v>446</v>
      </c>
      <c r="D90" s="20">
        <v>121003.0</v>
      </c>
      <c r="E90" s="20" t="s">
        <v>447</v>
      </c>
      <c r="F90" s="20" t="s">
        <v>294</v>
      </c>
      <c r="G90" s="20" t="s">
        <v>306</v>
      </c>
      <c r="H90" s="20" t="s">
        <v>337</v>
      </c>
    </row>
    <row r="91">
      <c r="A91" s="19" t="s">
        <v>194</v>
      </c>
      <c r="B91" s="20" t="s">
        <v>193</v>
      </c>
      <c r="C91" s="20" t="s">
        <v>365</v>
      </c>
      <c r="D91" s="20">
        <v>121003.0</v>
      </c>
      <c r="E91" s="20" t="s">
        <v>448</v>
      </c>
      <c r="F91" s="20" t="s">
        <v>294</v>
      </c>
      <c r="G91" s="20" t="s">
        <v>306</v>
      </c>
      <c r="H91" s="20" t="s">
        <v>449</v>
      </c>
    </row>
    <row r="92">
      <c r="A92" s="19" t="s">
        <v>196</v>
      </c>
      <c r="B92" s="20" t="s">
        <v>195</v>
      </c>
      <c r="C92" s="20" t="s">
        <v>376</v>
      </c>
      <c r="D92" s="20">
        <v>121003.0</v>
      </c>
      <c r="E92" s="20" t="s">
        <v>434</v>
      </c>
      <c r="F92" s="20" t="s">
        <v>296</v>
      </c>
      <c r="G92" s="20" t="s">
        <v>306</v>
      </c>
      <c r="H92" s="20" t="s">
        <v>310</v>
      </c>
    </row>
    <row r="93">
      <c r="A93" s="19" t="s">
        <v>198</v>
      </c>
      <c r="B93" s="20" t="s">
        <v>197</v>
      </c>
      <c r="C93" s="20" t="s">
        <v>450</v>
      </c>
      <c r="D93" s="20">
        <v>121003.0</v>
      </c>
      <c r="E93" s="20" t="s">
        <v>451</v>
      </c>
      <c r="F93" s="20" t="s">
        <v>296</v>
      </c>
      <c r="G93" s="20" t="s">
        <v>306</v>
      </c>
      <c r="H93" s="20" t="s">
        <v>307</v>
      </c>
    </row>
    <row r="94">
      <c r="A94" s="19" t="s">
        <v>200</v>
      </c>
      <c r="B94" s="20" t="s">
        <v>199</v>
      </c>
      <c r="C94" s="20" t="s">
        <v>424</v>
      </c>
      <c r="D94" s="20">
        <v>121003.0</v>
      </c>
      <c r="E94" s="20" t="s">
        <v>452</v>
      </c>
      <c r="F94" s="20" t="s">
        <v>296</v>
      </c>
      <c r="G94" s="20" t="s">
        <v>306</v>
      </c>
      <c r="H94" s="20" t="s">
        <v>310</v>
      </c>
    </row>
    <row r="95">
      <c r="A95" s="19" t="s">
        <v>202</v>
      </c>
      <c r="B95" s="20" t="s">
        <v>201</v>
      </c>
      <c r="C95" s="20" t="s">
        <v>383</v>
      </c>
      <c r="D95" s="20">
        <v>121003.0</v>
      </c>
      <c r="E95" s="20" t="s">
        <v>453</v>
      </c>
      <c r="F95" s="20" t="s">
        <v>296</v>
      </c>
      <c r="G95" s="20" t="s">
        <v>306</v>
      </c>
      <c r="H95" s="20" t="s">
        <v>310</v>
      </c>
    </row>
    <row r="96">
      <c r="A96" s="19" t="s">
        <v>204</v>
      </c>
      <c r="B96" s="20" t="s">
        <v>203</v>
      </c>
      <c r="C96" s="20" t="s">
        <v>374</v>
      </c>
      <c r="D96" s="20">
        <v>121003.0</v>
      </c>
      <c r="E96" s="20" t="s">
        <v>454</v>
      </c>
      <c r="F96" s="20" t="s">
        <v>296</v>
      </c>
      <c r="G96" s="20" t="s">
        <v>306</v>
      </c>
      <c r="H96" s="20" t="s">
        <v>310</v>
      </c>
    </row>
    <row r="97">
      <c r="A97" s="19" t="s">
        <v>206</v>
      </c>
      <c r="B97" s="20" t="s">
        <v>205</v>
      </c>
      <c r="C97" s="20" t="s">
        <v>455</v>
      </c>
      <c r="D97" s="20">
        <v>121003.0</v>
      </c>
      <c r="E97" s="20" t="s">
        <v>456</v>
      </c>
      <c r="F97" s="20" t="s">
        <v>296</v>
      </c>
      <c r="G97" s="20" t="s">
        <v>306</v>
      </c>
      <c r="H97" s="20" t="s">
        <v>313</v>
      </c>
    </row>
    <row r="98">
      <c r="A98" s="19" t="s">
        <v>208</v>
      </c>
      <c r="B98" s="20" t="s">
        <v>207</v>
      </c>
      <c r="C98" s="20" t="s">
        <v>374</v>
      </c>
      <c r="D98" s="20">
        <v>121003.0</v>
      </c>
      <c r="E98" s="20" t="s">
        <v>457</v>
      </c>
      <c r="F98" s="20" t="s">
        <v>296</v>
      </c>
      <c r="G98" s="20" t="s">
        <v>306</v>
      </c>
      <c r="H98" s="20" t="s">
        <v>310</v>
      </c>
    </row>
    <row r="99">
      <c r="A99" s="19" t="s">
        <v>210</v>
      </c>
      <c r="B99" s="20" t="s">
        <v>209</v>
      </c>
      <c r="C99" s="20" t="s">
        <v>458</v>
      </c>
      <c r="D99" s="20">
        <v>121003.0</v>
      </c>
      <c r="E99" s="20" t="s">
        <v>459</v>
      </c>
      <c r="F99" s="20" t="s">
        <v>296</v>
      </c>
      <c r="G99" s="20" t="s">
        <v>306</v>
      </c>
      <c r="H99" s="20" t="s">
        <v>310</v>
      </c>
    </row>
    <row r="100">
      <c r="A100" s="19" t="s">
        <v>212</v>
      </c>
      <c r="B100" s="20" t="s">
        <v>211</v>
      </c>
      <c r="C100" s="20" t="s">
        <v>460</v>
      </c>
      <c r="D100" s="20">
        <v>121003.0</v>
      </c>
      <c r="E100" s="20" t="s">
        <v>461</v>
      </c>
      <c r="F100" s="20" t="s">
        <v>296</v>
      </c>
      <c r="G100" s="20" t="s">
        <v>306</v>
      </c>
      <c r="H100" s="20" t="s">
        <v>462</v>
      </c>
    </row>
    <row r="101">
      <c r="A101" s="19" t="s">
        <v>214</v>
      </c>
      <c r="B101" s="20" t="s">
        <v>213</v>
      </c>
      <c r="C101" s="20" t="s">
        <v>463</v>
      </c>
      <c r="D101" s="20">
        <v>121003.0</v>
      </c>
      <c r="E101" s="20" t="s">
        <v>464</v>
      </c>
      <c r="F101" s="20" t="s">
        <v>296</v>
      </c>
      <c r="G101" s="20" t="s">
        <v>306</v>
      </c>
      <c r="H101" s="20" t="s">
        <v>310</v>
      </c>
    </row>
    <row r="102">
      <c r="A102" s="19" t="s">
        <v>216</v>
      </c>
      <c r="B102" s="20" t="s">
        <v>215</v>
      </c>
      <c r="C102" s="20" t="s">
        <v>465</v>
      </c>
      <c r="D102" s="20">
        <v>121003.0</v>
      </c>
      <c r="E102" s="20" t="s">
        <v>466</v>
      </c>
      <c r="F102" s="20" t="s">
        <v>296</v>
      </c>
      <c r="G102" s="20" t="s">
        <v>306</v>
      </c>
      <c r="H102" s="20" t="s">
        <v>307</v>
      </c>
    </row>
    <row r="103">
      <c r="A103" s="19" t="s">
        <v>218</v>
      </c>
      <c r="B103" s="20" t="s">
        <v>217</v>
      </c>
      <c r="C103" s="20" t="s">
        <v>348</v>
      </c>
      <c r="D103" s="20">
        <v>121003.0</v>
      </c>
      <c r="E103" s="20" t="s">
        <v>419</v>
      </c>
      <c r="F103" s="20" t="s">
        <v>296</v>
      </c>
      <c r="G103" s="20" t="s">
        <v>306</v>
      </c>
      <c r="H103" s="20" t="s">
        <v>310</v>
      </c>
    </row>
    <row r="104">
      <c r="A104" s="19" t="s">
        <v>220</v>
      </c>
      <c r="B104" s="20" t="s">
        <v>219</v>
      </c>
      <c r="C104" s="20" t="s">
        <v>329</v>
      </c>
      <c r="D104" s="20">
        <v>121003.0</v>
      </c>
      <c r="E104" s="20" t="s">
        <v>467</v>
      </c>
      <c r="F104" s="20" t="s">
        <v>294</v>
      </c>
      <c r="G104" s="20" t="s">
        <v>306</v>
      </c>
      <c r="H104" s="20" t="s">
        <v>315</v>
      </c>
    </row>
    <row r="105">
      <c r="A105" s="19" t="s">
        <v>222</v>
      </c>
      <c r="B105" s="20" t="s">
        <v>221</v>
      </c>
      <c r="C105" s="20" t="s">
        <v>329</v>
      </c>
      <c r="D105" s="20">
        <v>121003.0</v>
      </c>
      <c r="E105" s="20" t="s">
        <v>468</v>
      </c>
      <c r="F105" s="20" t="s">
        <v>296</v>
      </c>
      <c r="G105" s="20" t="s">
        <v>306</v>
      </c>
      <c r="H105" s="20" t="s">
        <v>310</v>
      </c>
    </row>
    <row r="106">
      <c r="A106" s="19" t="s">
        <v>224</v>
      </c>
      <c r="B106" s="20" t="s">
        <v>223</v>
      </c>
      <c r="C106" s="20" t="s">
        <v>469</v>
      </c>
      <c r="D106" s="20">
        <v>121003.0</v>
      </c>
      <c r="E106" s="20" t="s">
        <v>470</v>
      </c>
      <c r="F106" s="20" t="s">
        <v>296</v>
      </c>
      <c r="G106" s="20" t="s">
        <v>306</v>
      </c>
      <c r="H106" s="20" t="s">
        <v>401</v>
      </c>
    </row>
    <row r="107">
      <c r="A107" s="19" t="s">
        <v>226</v>
      </c>
      <c r="B107" s="20" t="s">
        <v>225</v>
      </c>
      <c r="C107" s="20" t="s">
        <v>471</v>
      </c>
      <c r="D107" s="20">
        <v>121003.0</v>
      </c>
      <c r="E107" s="20" t="s">
        <v>472</v>
      </c>
      <c r="F107" s="20" t="s">
        <v>296</v>
      </c>
      <c r="G107" s="20" t="s">
        <v>306</v>
      </c>
      <c r="H107" s="20" t="s">
        <v>313</v>
      </c>
    </row>
    <row r="108">
      <c r="A108" s="19" t="s">
        <v>228</v>
      </c>
      <c r="B108" s="20" t="s">
        <v>227</v>
      </c>
      <c r="C108" s="20" t="s">
        <v>402</v>
      </c>
      <c r="D108" s="20">
        <v>121003.0</v>
      </c>
      <c r="E108" s="20" t="s">
        <v>418</v>
      </c>
      <c r="F108" s="20" t="s">
        <v>296</v>
      </c>
      <c r="G108" s="20" t="s">
        <v>306</v>
      </c>
      <c r="H108" s="20" t="s">
        <v>310</v>
      </c>
    </row>
    <row r="109">
      <c r="A109" s="19" t="s">
        <v>230</v>
      </c>
      <c r="B109" s="20" t="s">
        <v>229</v>
      </c>
      <c r="C109" s="20" t="s">
        <v>329</v>
      </c>
      <c r="D109" s="20">
        <v>121003.0</v>
      </c>
      <c r="E109" s="20" t="s">
        <v>473</v>
      </c>
      <c r="F109" s="20" t="s">
        <v>296</v>
      </c>
      <c r="G109" s="20" t="s">
        <v>306</v>
      </c>
      <c r="H109" s="20" t="s">
        <v>310</v>
      </c>
    </row>
    <row r="110">
      <c r="A110" s="19" t="s">
        <v>232</v>
      </c>
      <c r="B110" s="20" t="s">
        <v>231</v>
      </c>
      <c r="C110" s="20" t="s">
        <v>329</v>
      </c>
      <c r="D110" s="20">
        <v>121003.0</v>
      </c>
      <c r="E110" s="20" t="s">
        <v>474</v>
      </c>
      <c r="F110" s="20" t="s">
        <v>296</v>
      </c>
      <c r="G110" s="20" t="s">
        <v>306</v>
      </c>
      <c r="H110" s="20" t="s">
        <v>310</v>
      </c>
    </row>
    <row r="111">
      <c r="A111" s="19" t="s">
        <v>234</v>
      </c>
      <c r="B111" s="20" t="s">
        <v>233</v>
      </c>
      <c r="C111" s="20" t="s">
        <v>374</v>
      </c>
      <c r="D111" s="20">
        <v>121003.0</v>
      </c>
      <c r="E111" s="20" t="s">
        <v>475</v>
      </c>
      <c r="F111" s="20" t="s">
        <v>296</v>
      </c>
      <c r="G111" s="20" t="s">
        <v>306</v>
      </c>
      <c r="H111" s="20" t="s">
        <v>310</v>
      </c>
    </row>
    <row r="112">
      <c r="A112" s="19" t="s">
        <v>236</v>
      </c>
      <c r="B112" s="20" t="s">
        <v>235</v>
      </c>
      <c r="C112" s="20" t="s">
        <v>476</v>
      </c>
      <c r="D112" s="20">
        <v>121003.0</v>
      </c>
      <c r="E112" s="20" t="s">
        <v>477</v>
      </c>
      <c r="F112" s="20" t="s">
        <v>296</v>
      </c>
      <c r="G112" s="20" t="s">
        <v>306</v>
      </c>
      <c r="H112" s="20" t="s">
        <v>310</v>
      </c>
    </row>
    <row r="113">
      <c r="A113" s="19" t="s">
        <v>238</v>
      </c>
      <c r="B113" s="20" t="s">
        <v>237</v>
      </c>
      <c r="C113" s="20" t="s">
        <v>478</v>
      </c>
      <c r="D113" s="20">
        <v>121003.0</v>
      </c>
      <c r="E113" s="20" t="s">
        <v>479</v>
      </c>
      <c r="F113" s="20" t="s">
        <v>296</v>
      </c>
      <c r="G113" s="20" t="s">
        <v>306</v>
      </c>
      <c r="H113" s="20" t="s">
        <v>310</v>
      </c>
    </row>
    <row r="114">
      <c r="A114" s="19" t="s">
        <v>240</v>
      </c>
      <c r="B114" s="20" t="s">
        <v>239</v>
      </c>
      <c r="C114" s="20" t="s">
        <v>374</v>
      </c>
      <c r="D114" s="20">
        <v>121003.0</v>
      </c>
      <c r="E114" s="20" t="s">
        <v>480</v>
      </c>
      <c r="F114" s="20" t="s">
        <v>296</v>
      </c>
      <c r="G114" s="20" t="s">
        <v>306</v>
      </c>
      <c r="H114" s="20" t="s">
        <v>310</v>
      </c>
    </row>
    <row r="115">
      <c r="A115" s="19" t="s">
        <v>242</v>
      </c>
      <c r="B115" s="20" t="s">
        <v>241</v>
      </c>
      <c r="C115" s="20" t="s">
        <v>481</v>
      </c>
      <c r="D115" s="20">
        <v>121003.0</v>
      </c>
      <c r="E115" s="20" t="s">
        <v>434</v>
      </c>
      <c r="F115" s="20" t="s">
        <v>296</v>
      </c>
      <c r="G115" s="20" t="s">
        <v>306</v>
      </c>
      <c r="H115" s="20" t="s">
        <v>401</v>
      </c>
    </row>
    <row r="116">
      <c r="A116" s="19" t="s">
        <v>244</v>
      </c>
      <c r="B116" s="20" t="s">
        <v>243</v>
      </c>
      <c r="C116" s="20" t="s">
        <v>482</v>
      </c>
      <c r="D116" s="20">
        <v>121003.0</v>
      </c>
      <c r="E116" s="20" t="s">
        <v>483</v>
      </c>
      <c r="F116" s="20" t="s">
        <v>296</v>
      </c>
      <c r="G116" s="20" t="s">
        <v>306</v>
      </c>
      <c r="H116" s="20" t="s">
        <v>313</v>
      </c>
    </row>
    <row r="117">
      <c r="A117" s="19" t="s">
        <v>246</v>
      </c>
      <c r="B117" s="20" t="s">
        <v>245</v>
      </c>
      <c r="C117" s="20" t="s">
        <v>374</v>
      </c>
      <c r="D117" s="20">
        <v>121003.0</v>
      </c>
      <c r="E117" s="20" t="s">
        <v>484</v>
      </c>
      <c r="F117" s="20" t="s">
        <v>296</v>
      </c>
      <c r="G117" s="20" t="s">
        <v>306</v>
      </c>
      <c r="H117" s="20" t="s">
        <v>310</v>
      </c>
    </row>
    <row r="118">
      <c r="A118" s="19" t="s">
        <v>248</v>
      </c>
      <c r="B118" s="20" t="s">
        <v>247</v>
      </c>
      <c r="C118" s="20" t="s">
        <v>329</v>
      </c>
      <c r="D118" s="20">
        <v>121003.0</v>
      </c>
      <c r="E118" s="20" t="s">
        <v>480</v>
      </c>
      <c r="F118" s="20" t="s">
        <v>296</v>
      </c>
      <c r="G118" s="20" t="s">
        <v>306</v>
      </c>
      <c r="H118" s="20" t="s">
        <v>310</v>
      </c>
    </row>
    <row r="119">
      <c r="A119" s="19" t="s">
        <v>250</v>
      </c>
      <c r="B119" s="20" t="s">
        <v>249</v>
      </c>
      <c r="C119" s="20" t="s">
        <v>442</v>
      </c>
      <c r="D119" s="20">
        <v>121003.0</v>
      </c>
      <c r="E119" s="20" t="s">
        <v>434</v>
      </c>
      <c r="F119" s="20" t="s">
        <v>296</v>
      </c>
      <c r="G119" s="20" t="s">
        <v>306</v>
      </c>
      <c r="H119" s="20" t="s">
        <v>307</v>
      </c>
    </row>
    <row r="120">
      <c r="A120" s="19" t="s">
        <v>252</v>
      </c>
      <c r="B120" s="20" t="s">
        <v>251</v>
      </c>
      <c r="C120" s="20" t="s">
        <v>402</v>
      </c>
      <c r="D120" s="20">
        <v>121003.0</v>
      </c>
      <c r="E120" s="20" t="s">
        <v>473</v>
      </c>
      <c r="F120" s="20" t="s">
        <v>296</v>
      </c>
      <c r="G120" s="20" t="s">
        <v>306</v>
      </c>
      <c r="H120" s="20" t="s">
        <v>310</v>
      </c>
    </row>
    <row r="121">
      <c r="A121" s="19" t="s">
        <v>254</v>
      </c>
      <c r="B121" s="20" t="s">
        <v>253</v>
      </c>
      <c r="C121" s="20" t="s">
        <v>463</v>
      </c>
      <c r="D121" s="20">
        <v>121003.0</v>
      </c>
      <c r="E121" s="20" t="s">
        <v>485</v>
      </c>
      <c r="F121" s="20" t="s">
        <v>296</v>
      </c>
      <c r="G121" s="20" t="s">
        <v>306</v>
      </c>
      <c r="H121" s="20" t="s">
        <v>310</v>
      </c>
    </row>
    <row r="122">
      <c r="A122" s="19" t="s">
        <v>256</v>
      </c>
      <c r="B122" s="20" t="s">
        <v>255</v>
      </c>
      <c r="C122" s="20" t="s">
        <v>324</v>
      </c>
      <c r="D122" s="20">
        <v>121003.0</v>
      </c>
      <c r="E122" s="20" t="s">
        <v>486</v>
      </c>
      <c r="F122" s="20" t="s">
        <v>296</v>
      </c>
      <c r="G122" s="20" t="s">
        <v>341</v>
      </c>
      <c r="H122" s="20" t="s">
        <v>428</v>
      </c>
    </row>
    <row r="123">
      <c r="A123" s="19" t="s">
        <v>258</v>
      </c>
      <c r="B123" s="20" t="s">
        <v>257</v>
      </c>
      <c r="C123" s="20" t="s">
        <v>324</v>
      </c>
      <c r="D123" s="20">
        <v>121003.0</v>
      </c>
      <c r="E123" s="20" t="s">
        <v>487</v>
      </c>
      <c r="F123" s="20" t="s">
        <v>296</v>
      </c>
      <c r="G123" s="20" t="s">
        <v>306</v>
      </c>
      <c r="H123" s="20" t="s">
        <v>318</v>
      </c>
    </row>
    <row r="124">
      <c r="A124" s="19" t="s">
        <v>260</v>
      </c>
      <c r="B124" s="20" t="s">
        <v>259</v>
      </c>
      <c r="C124" s="20" t="s">
        <v>324</v>
      </c>
      <c r="D124" s="20">
        <v>121003.0</v>
      </c>
      <c r="E124" s="20" t="s">
        <v>445</v>
      </c>
      <c r="F124" s="20" t="s">
        <v>294</v>
      </c>
      <c r="G124" s="20" t="s">
        <v>306</v>
      </c>
      <c r="H124" s="20" t="s">
        <v>337</v>
      </c>
    </row>
    <row r="125">
      <c r="A125" s="19" t="s">
        <v>262</v>
      </c>
      <c r="B125" s="20" t="s">
        <v>261</v>
      </c>
      <c r="C125" s="20" t="s">
        <v>324</v>
      </c>
      <c r="D125" s="20">
        <v>121003.0</v>
      </c>
      <c r="E125" s="20" t="s">
        <v>484</v>
      </c>
      <c r="F125" s="20" t="s">
        <v>296</v>
      </c>
      <c r="G125" s="20" t="s">
        <v>306</v>
      </c>
      <c r="H125" s="20" t="s">
        <v>318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4.5"/>
    <col customWidth="1" min="3" max="3" width="20.25"/>
    <col customWidth="1" min="5" max="6" width="22.75"/>
  </cols>
  <sheetData>
    <row r="1">
      <c r="A1" s="17" t="s">
        <v>0</v>
      </c>
      <c r="B1" s="1" t="s">
        <v>300</v>
      </c>
      <c r="C1" s="17" t="s">
        <v>301</v>
      </c>
      <c r="D1" s="17" t="s">
        <v>302</v>
      </c>
      <c r="E1" s="21" t="s">
        <v>488</v>
      </c>
      <c r="F1" s="21" t="s">
        <v>489</v>
      </c>
    </row>
    <row r="2">
      <c r="A2" s="20" t="s">
        <v>15</v>
      </c>
      <c r="B2" s="19">
        <v>121003.0</v>
      </c>
      <c r="C2" s="20">
        <v>507101.0</v>
      </c>
      <c r="D2" s="20" t="s">
        <v>296</v>
      </c>
      <c r="E2" s="15" t="str">
        <f>VLOOKUP(D2,Courier_compnay_invoice!$F:$G,2,0)</f>
        <v>Forward charges</v>
      </c>
      <c r="F2" s="15"/>
    </row>
    <row r="3">
      <c r="A3" s="20" t="s">
        <v>17</v>
      </c>
      <c r="B3" s="19">
        <v>121003.0</v>
      </c>
      <c r="C3" s="20">
        <v>486886.0</v>
      </c>
      <c r="D3" s="20" t="s">
        <v>296</v>
      </c>
      <c r="E3" s="15" t="str">
        <f>VLOOKUP(D3,Courier_compnay_invoice!$F:$G,2,0)</f>
        <v>Forward charges</v>
      </c>
      <c r="F3" s="15"/>
    </row>
    <row r="4">
      <c r="A4" s="20" t="s">
        <v>19</v>
      </c>
      <c r="B4" s="19">
        <v>121003.0</v>
      </c>
      <c r="C4" s="20">
        <v>532484.0</v>
      </c>
      <c r="D4" s="20" t="s">
        <v>296</v>
      </c>
      <c r="E4" s="15" t="str">
        <f>VLOOKUP(D4,Courier_compnay_invoice!$F:$G,2,0)</f>
        <v>Forward charges</v>
      </c>
      <c r="F4" s="15"/>
    </row>
    <row r="5">
      <c r="A5" s="20" t="s">
        <v>21</v>
      </c>
      <c r="B5" s="19">
        <v>121003.0</v>
      </c>
      <c r="C5" s="20">
        <v>143001.0</v>
      </c>
      <c r="D5" s="20" t="s">
        <v>294</v>
      </c>
      <c r="E5" s="15" t="str">
        <f>VLOOKUP(D5,Courier_compnay_invoice!$F:$G,2,0)</f>
        <v>Forward charges</v>
      </c>
      <c r="F5" s="15"/>
    </row>
    <row r="6">
      <c r="A6" s="20" t="s">
        <v>23</v>
      </c>
      <c r="B6" s="19">
        <v>121003.0</v>
      </c>
      <c r="C6" s="20">
        <v>515591.0</v>
      </c>
      <c r="D6" s="20" t="s">
        <v>296</v>
      </c>
      <c r="E6" s="15" t="str">
        <f>VLOOKUP(D6,Courier_compnay_invoice!$F:$G,2,0)</f>
        <v>Forward charges</v>
      </c>
      <c r="F6" s="15"/>
    </row>
    <row r="7">
      <c r="A7" s="20" t="s">
        <v>25</v>
      </c>
      <c r="B7" s="19">
        <v>121003.0</v>
      </c>
      <c r="C7" s="20">
        <v>326502.0</v>
      </c>
      <c r="D7" s="20" t="s">
        <v>296</v>
      </c>
      <c r="E7" s="15" t="str">
        <f>VLOOKUP(D7,Courier_compnay_invoice!$F:$G,2,0)</f>
        <v>Forward charges</v>
      </c>
      <c r="F7" s="15"/>
    </row>
    <row r="8">
      <c r="A8" s="20" t="s">
        <v>27</v>
      </c>
      <c r="B8" s="19">
        <v>121003.0</v>
      </c>
      <c r="C8" s="20">
        <v>208019.0</v>
      </c>
      <c r="D8" s="20" t="s">
        <v>294</v>
      </c>
      <c r="E8" s="15" t="str">
        <f>VLOOKUP(D8,Courier_compnay_invoice!$F:$G,2,0)</f>
        <v>Forward charges</v>
      </c>
      <c r="F8" s="15"/>
    </row>
    <row r="9">
      <c r="A9" s="20" t="s">
        <v>29</v>
      </c>
      <c r="B9" s="19">
        <v>121003.0</v>
      </c>
      <c r="C9" s="20">
        <v>140301.0</v>
      </c>
      <c r="D9" s="20" t="s">
        <v>294</v>
      </c>
      <c r="E9" s="15" t="str">
        <f>VLOOKUP(D9,Courier_compnay_invoice!$F:$G,2,0)</f>
        <v>Forward charges</v>
      </c>
      <c r="F9" s="15"/>
    </row>
    <row r="10">
      <c r="A10" s="20" t="s">
        <v>31</v>
      </c>
      <c r="B10" s="19">
        <v>121003.0</v>
      </c>
      <c r="C10" s="20">
        <v>396001.0</v>
      </c>
      <c r="D10" s="20" t="s">
        <v>296</v>
      </c>
      <c r="E10" s="15" t="str">
        <f>VLOOKUP(D10,Courier_compnay_invoice!$F:$G,2,0)</f>
        <v>Forward charges</v>
      </c>
      <c r="F10" s="15"/>
    </row>
    <row r="11">
      <c r="A11" s="20" t="s">
        <v>33</v>
      </c>
      <c r="B11" s="19">
        <v>121003.0</v>
      </c>
      <c r="C11" s="20">
        <v>711106.0</v>
      </c>
      <c r="D11" s="20" t="s">
        <v>296</v>
      </c>
      <c r="E11" s="15" t="str">
        <f>VLOOKUP(D11,Courier_compnay_invoice!$F:$G,2,0)</f>
        <v>Forward charges</v>
      </c>
      <c r="F11" s="15"/>
    </row>
    <row r="12">
      <c r="A12" s="20" t="s">
        <v>35</v>
      </c>
      <c r="B12" s="19">
        <v>121003.0</v>
      </c>
      <c r="C12" s="20">
        <v>284001.0</v>
      </c>
      <c r="D12" s="20" t="s">
        <v>294</v>
      </c>
      <c r="E12" s="15" t="str">
        <f>VLOOKUP(D12,Courier_compnay_invoice!$F:$G,2,0)</f>
        <v>Forward charges</v>
      </c>
      <c r="F12" s="15"/>
    </row>
    <row r="13">
      <c r="A13" s="20" t="s">
        <v>37</v>
      </c>
      <c r="B13" s="19">
        <v>121003.0</v>
      </c>
      <c r="C13" s="20">
        <v>441601.0</v>
      </c>
      <c r="D13" s="20" t="s">
        <v>296</v>
      </c>
      <c r="E13" s="15" t="str">
        <f>VLOOKUP(D13,Courier_compnay_invoice!$F:$G,2,0)</f>
        <v>Forward charges</v>
      </c>
      <c r="F13" s="15"/>
    </row>
    <row r="14">
      <c r="A14" s="20" t="s">
        <v>39</v>
      </c>
      <c r="B14" s="19">
        <v>121003.0</v>
      </c>
      <c r="C14" s="20">
        <v>248006.0</v>
      </c>
      <c r="D14" s="20" t="s">
        <v>294</v>
      </c>
      <c r="E14" s="15" t="str">
        <f>VLOOKUP(D14,Courier_compnay_invoice!$F:$G,2,0)</f>
        <v>Forward charges</v>
      </c>
      <c r="F14" s="15"/>
    </row>
    <row r="15">
      <c r="A15" s="20" t="s">
        <v>41</v>
      </c>
      <c r="B15" s="19">
        <v>121003.0</v>
      </c>
      <c r="C15" s="20">
        <v>485001.0</v>
      </c>
      <c r="D15" s="20" t="s">
        <v>296</v>
      </c>
      <c r="E15" s="15" t="str">
        <f>VLOOKUP(D15,Courier_compnay_invoice!$F:$G,2,0)</f>
        <v>Forward charges</v>
      </c>
      <c r="F15" s="15"/>
    </row>
    <row r="16">
      <c r="A16" s="20" t="s">
        <v>43</v>
      </c>
      <c r="B16" s="19">
        <v>121003.0</v>
      </c>
      <c r="C16" s="20">
        <v>845438.0</v>
      </c>
      <c r="D16" s="20" t="s">
        <v>296</v>
      </c>
      <c r="E16" s="15" t="str">
        <f>VLOOKUP(D16,Courier_compnay_invoice!$F:$G,2,0)</f>
        <v>Forward charges</v>
      </c>
      <c r="F16" s="15"/>
    </row>
    <row r="17">
      <c r="A17" s="20" t="s">
        <v>45</v>
      </c>
      <c r="B17" s="19">
        <v>121003.0</v>
      </c>
      <c r="C17" s="20">
        <v>463106.0</v>
      </c>
      <c r="D17" s="20" t="s">
        <v>296</v>
      </c>
      <c r="E17" s="15" t="str">
        <f>VLOOKUP(D17,Courier_compnay_invoice!$F:$G,2,0)</f>
        <v>Forward charges</v>
      </c>
      <c r="F17" s="15"/>
    </row>
    <row r="18">
      <c r="A18" s="20" t="s">
        <v>47</v>
      </c>
      <c r="B18" s="19">
        <v>121003.0</v>
      </c>
      <c r="C18" s="20">
        <v>140301.0</v>
      </c>
      <c r="D18" s="20" t="s">
        <v>294</v>
      </c>
      <c r="E18" s="15" t="str">
        <f>VLOOKUP(D18,Courier_compnay_invoice!$F:$G,2,0)</f>
        <v>Forward charges</v>
      </c>
      <c r="F18" s="15"/>
    </row>
    <row r="19">
      <c r="A19" s="20" t="s">
        <v>49</v>
      </c>
      <c r="B19" s="19">
        <v>121003.0</v>
      </c>
      <c r="C19" s="20">
        <v>495671.0</v>
      </c>
      <c r="D19" s="20" t="s">
        <v>296</v>
      </c>
      <c r="E19" s="15" t="str">
        <f>VLOOKUP(D19,Courier_compnay_invoice!$F:$G,2,0)</f>
        <v>Forward charges</v>
      </c>
      <c r="F19" s="15"/>
    </row>
    <row r="20">
      <c r="A20" s="20" t="s">
        <v>51</v>
      </c>
      <c r="B20" s="19">
        <v>121003.0</v>
      </c>
      <c r="C20" s="20">
        <v>673002.0</v>
      </c>
      <c r="D20" s="20" t="s">
        <v>297</v>
      </c>
      <c r="E20" s="15" t="str">
        <f>VLOOKUP(D20,Courier_compnay_invoice!$F:$G,2,0)</f>
        <v>Forward and RTO charges</v>
      </c>
      <c r="F20" s="15"/>
    </row>
    <row r="21">
      <c r="A21" s="20" t="s">
        <v>53</v>
      </c>
      <c r="B21" s="19">
        <v>121003.0</v>
      </c>
      <c r="C21" s="20">
        <v>208002.0</v>
      </c>
      <c r="D21" s="20" t="s">
        <v>294</v>
      </c>
      <c r="E21" s="15" t="str">
        <f>VLOOKUP(D21,Courier_compnay_invoice!$F:$G,2,0)</f>
        <v>Forward charges</v>
      </c>
      <c r="F21" s="15"/>
    </row>
    <row r="22">
      <c r="A22" s="20" t="s">
        <v>55</v>
      </c>
      <c r="B22" s="19">
        <v>121003.0</v>
      </c>
      <c r="C22" s="20">
        <v>416010.0</v>
      </c>
      <c r="D22" s="20" t="s">
        <v>296</v>
      </c>
      <c r="E22" s="15" t="str">
        <f>VLOOKUP(D22,Courier_compnay_invoice!$F:$G,2,0)</f>
        <v>Forward charges</v>
      </c>
      <c r="F22" s="15"/>
    </row>
    <row r="23">
      <c r="A23" s="20" t="s">
        <v>57</v>
      </c>
      <c r="B23" s="19">
        <v>121003.0</v>
      </c>
      <c r="C23" s="20">
        <v>226010.0</v>
      </c>
      <c r="D23" s="20" t="s">
        <v>294</v>
      </c>
      <c r="E23" s="15" t="str">
        <f>VLOOKUP(D23,Courier_compnay_invoice!$F:$G,2,0)</f>
        <v>Forward charges</v>
      </c>
      <c r="F23" s="15"/>
    </row>
    <row r="24">
      <c r="A24" s="20" t="s">
        <v>59</v>
      </c>
      <c r="B24" s="19">
        <v>121003.0</v>
      </c>
      <c r="C24" s="20">
        <v>400705.0</v>
      </c>
      <c r="D24" s="20" t="s">
        <v>296</v>
      </c>
      <c r="E24" s="15" t="str">
        <f>VLOOKUP(D24,Courier_compnay_invoice!$F:$G,2,0)</f>
        <v>Forward charges</v>
      </c>
      <c r="F24" s="15"/>
    </row>
    <row r="25">
      <c r="A25" s="20" t="s">
        <v>61</v>
      </c>
      <c r="B25" s="19">
        <v>121003.0</v>
      </c>
      <c r="C25" s="20">
        <v>262405.0</v>
      </c>
      <c r="D25" s="20" t="s">
        <v>294</v>
      </c>
      <c r="E25" s="15" t="str">
        <f>VLOOKUP(D25,Courier_compnay_invoice!$F:$G,2,0)</f>
        <v>Forward charges</v>
      </c>
      <c r="F25" s="15"/>
    </row>
    <row r="26">
      <c r="A26" s="20" t="s">
        <v>63</v>
      </c>
      <c r="B26" s="19">
        <v>121003.0</v>
      </c>
      <c r="C26" s="20">
        <v>394210.0</v>
      </c>
      <c r="D26" s="20" t="s">
        <v>296</v>
      </c>
      <c r="E26" s="15" t="str">
        <f>VLOOKUP(D26,Courier_compnay_invoice!$F:$G,2,0)</f>
        <v>Forward charges</v>
      </c>
      <c r="F26" s="15"/>
    </row>
    <row r="27">
      <c r="A27" s="20" t="s">
        <v>65</v>
      </c>
      <c r="B27" s="19">
        <v>121003.0</v>
      </c>
      <c r="C27" s="20">
        <v>411014.0</v>
      </c>
      <c r="D27" s="20" t="s">
        <v>296</v>
      </c>
      <c r="E27" s="15" t="str">
        <f>VLOOKUP(D27,Courier_compnay_invoice!$F:$G,2,0)</f>
        <v>Forward charges</v>
      </c>
      <c r="F27" s="15"/>
    </row>
    <row r="28">
      <c r="A28" s="20" t="s">
        <v>67</v>
      </c>
      <c r="B28" s="19">
        <v>121003.0</v>
      </c>
      <c r="C28" s="20">
        <v>783301.0</v>
      </c>
      <c r="D28" s="20" t="s">
        <v>297</v>
      </c>
      <c r="E28" s="15" t="str">
        <f>VLOOKUP(D28,Courier_compnay_invoice!$F:$G,2,0)</f>
        <v>Forward and RTO charges</v>
      </c>
      <c r="F28" s="15"/>
    </row>
    <row r="29">
      <c r="A29" s="20" t="s">
        <v>69</v>
      </c>
      <c r="B29" s="19">
        <v>121003.0</v>
      </c>
      <c r="C29" s="20">
        <v>486661.0</v>
      </c>
      <c r="D29" s="20" t="s">
        <v>296</v>
      </c>
      <c r="E29" s="15" t="str">
        <f>VLOOKUP(D29,Courier_compnay_invoice!$F:$G,2,0)</f>
        <v>Forward charges</v>
      </c>
      <c r="F29" s="15"/>
    </row>
    <row r="30">
      <c r="A30" s="20" t="s">
        <v>71</v>
      </c>
      <c r="B30" s="19">
        <v>121003.0</v>
      </c>
      <c r="C30" s="20">
        <v>244001.0</v>
      </c>
      <c r="D30" s="20" t="s">
        <v>294</v>
      </c>
      <c r="E30" s="15" t="str">
        <f>VLOOKUP(D30,Courier_compnay_invoice!$F:$G,2,0)</f>
        <v>Forward charges</v>
      </c>
      <c r="F30" s="15"/>
    </row>
    <row r="31">
      <c r="A31" s="20" t="s">
        <v>73</v>
      </c>
      <c r="B31" s="19">
        <v>121003.0</v>
      </c>
      <c r="C31" s="20">
        <v>492001.0</v>
      </c>
      <c r="D31" s="20" t="s">
        <v>296</v>
      </c>
      <c r="E31" s="15" t="str">
        <f>VLOOKUP(D31,Courier_compnay_invoice!$F:$G,2,0)</f>
        <v>Forward charges</v>
      </c>
      <c r="F31" s="15"/>
    </row>
    <row r="32">
      <c r="A32" s="20" t="s">
        <v>75</v>
      </c>
      <c r="B32" s="19">
        <v>121003.0</v>
      </c>
      <c r="C32" s="20">
        <v>517128.0</v>
      </c>
      <c r="D32" s="20" t="s">
        <v>296</v>
      </c>
      <c r="E32" s="15" t="str">
        <f>VLOOKUP(D32,Courier_compnay_invoice!$F:$G,2,0)</f>
        <v>Forward charges</v>
      </c>
      <c r="F32" s="15"/>
    </row>
    <row r="33">
      <c r="A33" s="20" t="s">
        <v>77</v>
      </c>
      <c r="B33" s="19">
        <v>121003.0</v>
      </c>
      <c r="C33" s="20">
        <v>562110.0</v>
      </c>
      <c r="D33" s="20" t="s">
        <v>296</v>
      </c>
      <c r="E33" s="15" t="str">
        <f>VLOOKUP(D33,Courier_compnay_invoice!$F:$G,2,0)</f>
        <v>Forward charges</v>
      </c>
      <c r="F33" s="15"/>
    </row>
    <row r="34">
      <c r="A34" s="20" t="s">
        <v>79</v>
      </c>
      <c r="B34" s="19">
        <v>121003.0</v>
      </c>
      <c r="C34" s="20">
        <v>831006.0</v>
      </c>
      <c r="D34" s="20" t="s">
        <v>296</v>
      </c>
      <c r="E34" s="15" t="str">
        <f>VLOOKUP(D34,Courier_compnay_invoice!$F:$G,2,0)</f>
        <v>Forward charges</v>
      </c>
      <c r="F34" s="15"/>
    </row>
    <row r="35">
      <c r="A35" s="20" t="s">
        <v>81</v>
      </c>
      <c r="B35" s="19">
        <v>121003.0</v>
      </c>
      <c r="C35" s="20">
        <v>140604.0</v>
      </c>
      <c r="D35" s="20" t="s">
        <v>294</v>
      </c>
      <c r="E35" s="15" t="str">
        <f>VLOOKUP(D35,Courier_compnay_invoice!$F:$G,2,0)</f>
        <v>Forward charges</v>
      </c>
      <c r="F35" s="15"/>
    </row>
    <row r="36">
      <c r="A36" s="20" t="s">
        <v>83</v>
      </c>
      <c r="B36" s="19">
        <v>121003.0</v>
      </c>
      <c r="C36" s="20">
        <v>723146.0</v>
      </c>
      <c r="D36" s="20" t="s">
        <v>296</v>
      </c>
      <c r="E36" s="15" t="str">
        <f>VLOOKUP(D36,Courier_compnay_invoice!$F:$G,2,0)</f>
        <v>Forward charges</v>
      </c>
      <c r="F36" s="15"/>
    </row>
    <row r="37">
      <c r="A37" s="20" t="s">
        <v>85</v>
      </c>
      <c r="B37" s="19">
        <v>121003.0</v>
      </c>
      <c r="C37" s="20">
        <v>421204.0</v>
      </c>
      <c r="D37" s="20" t="s">
        <v>296</v>
      </c>
      <c r="E37" s="15" t="str">
        <f>VLOOKUP(D37,Courier_compnay_invoice!$F:$G,2,0)</f>
        <v>Forward charges</v>
      </c>
      <c r="F37" s="15"/>
    </row>
    <row r="38">
      <c r="A38" s="20" t="s">
        <v>87</v>
      </c>
      <c r="B38" s="19">
        <v>121003.0</v>
      </c>
      <c r="C38" s="20">
        <v>263139.0</v>
      </c>
      <c r="D38" s="20" t="s">
        <v>294</v>
      </c>
      <c r="E38" s="15" t="str">
        <f>VLOOKUP(D38,Courier_compnay_invoice!$F:$G,2,0)</f>
        <v>Forward charges</v>
      </c>
      <c r="F38" s="15"/>
    </row>
    <row r="39">
      <c r="A39" s="20" t="s">
        <v>89</v>
      </c>
      <c r="B39" s="19">
        <v>121003.0</v>
      </c>
      <c r="C39" s="20">
        <v>743263.0</v>
      </c>
      <c r="D39" s="20" t="s">
        <v>296</v>
      </c>
      <c r="E39" s="15" t="str">
        <f>VLOOKUP(D39,Courier_compnay_invoice!$F:$G,2,0)</f>
        <v>Forward charges</v>
      </c>
      <c r="F39" s="15"/>
    </row>
    <row r="40">
      <c r="A40" s="20" t="s">
        <v>91</v>
      </c>
      <c r="B40" s="19">
        <v>121003.0</v>
      </c>
      <c r="C40" s="20">
        <v>392150.0</v>
      </c>
      <c r="D40" s="20" t="s">
        <v>296</v>
      </c>
      <c r="E40" s="15" t="str">
        <f>VLOOKUP(D40,Courier_compnay_invoice!$F:$G,2,0)</f>
        <v>Forward charges</v>
      </c>
      <c r="F40" s="15"/>
    </row>
    <row r="41">
      <c r="A41" s="20" t="s">
        <v>93</v>
      </c>
      <c r="B41" s="19">
        <v>121003.0</v>
      </c>
      <c r="C41" s="20">
        <v>382830.0</v>
      </c>
      <c r="D41" s="20" t="s">
        <v>296</v>
      </c>
      <c r="E41" s="15" t="str">
        <f>VLOOKUP(D41,Courier_compnay_invoice!$F:$G,2,0)</f>
        <v>Forward charges</v>
      </c>
      <c r="F41" s="15"/>
    </row>
    <row r="42">
      <c r="A42" s="20" t="s">
        <v>95</v>
      </c>
      <c r="B42" s="19">
        <v>121003.0</v>
      </c>
      <c r="C42" s="20">
        <v>711303.0</v>
      </c>
      <c r="D42" s="20" t="s">
        <v>296</v>
      </c>
      <c r="E42" s="15" t="str">
        <f>VLOOKUP(D42,Courier_compnay_invoice!$F:$G,2,0)</f>
        <v>Forward charges</v>
      </c>
      <c r="F42" s="15"/>
    </row>
    <row r="43">
      <c r="A43" s="20" t="s">
        <v>97</v>
      </c>
      <c r="B43" s="19">
        <v>121003.0</v>
      </c>
      <c r="C43" s="20">
        <v>283102.0</v>
      </c>
      <c r="D43" s="20" t="s">
        <v>294</v>
      </c>
      <c r="E43" s="15" t="str">
        <f>VLOOKUP(D43,Courier_compnay_invoice!$F:$G,2,0)</f>
        <v>Forward charges</v>
      </c>
      <c r="F43" s="15"/>
    </row>
    <row r="44">
      <c r="A44" s="20" t="s">
        <v>99</v>
      </c>
      <c r="B44" s="19">
        <v>121003.0</v>
      </c>
      <c r="C44" s="20">
        <v>370201.0</v>
      </c>
      <c r="D44" s="20" t="s">
        <v>296</v>
      </c>
      <c r="E44" s="15" t="str">
        <f>VLOOKUP(D44,Courier_compnay_invoice!$F:$G,2,0)</f>
        <v>Forward charges</v>
      </c>
      <c r="F44" s="15"/>
    </row>
    <row r="45">
      <c r="A45" s="20" t="s">
        <v>101</v>
      </c>
      <c r="B45" s="19">
        <v>121003.0</v>
      </c>
      <c r="C45" s="20">
        <v>248001.0</v>
      </c>
      <c r="D45" s="20" t="s">
        <v>294</v>
      </c>
      <c r="E45" s="15" t="str">
        <f>VLOOKUP(D45,Courier_compnay_invoice!$F:$G,2,0)</f>
        <v>Forward charges</v>
      </c>
      <c r="F45" s="15"/>
    </row>
    <row r="46">
      <c r="A46" s="20" t="s">
        <v>103</v>
      </c>
      <c r="B46" s="19">
        <v>121003.0</v>
      </c>
      <c r="C46" s="20">
        <v>144001.0</v>
      </c>
      <c r="D46" s="20" t="s">
        <v>294</v>
      </c>
      <c r="E46" s="15" t="str">
        <f>VLOOKUP(D46,Courier_compnay_invoice!$F:$G,2,0)</f>
        <v>Forward charges</v>
      </c>
      <c r="F46" s="15"/>
    </row>
    <row r="47">
      <c r="A47" s="20" t="s">
        <v>105</v>
      </c>
      <c r="B47" s="19">
        <v>121003.0</v>
      </c>
      <c r="C47" s="20">
        <v>403401.0</v>
      </c>
      <c r="D47" s="20" t="s">
        <v>296</v>
      </c>
      <c r="E47" s="15" t="str">
        <f>VLOOKUP(D47,Courier_compnay_invoice!$F:$G,2,0)</f>
        <v>Forward charges</v>
      </c>
      <c r="F47" s="15"/>
    </row>
    <row r="48">
      <c r="A48" s="20" t="s">
        <v>107</v>
      </c>
      <c r="B48" s="19">
        <v>121003.0</v>
      </c>
      <c r="C48" s="20">
        <v>452001.0</v>
      </c>
      <c r="D48" s="20" t="s">
        <v>296</v>
      </c>
      <c r="E48" s="15" t="str">
        <f>VLOOKUP(D48,Courier_compnay_invoice!$F:$G,2,0)</f>
        <v>Forward charges</v>
      </c>
      <c r="F48" s="15"/>
    </row>
    <row r="49">
      <c r="A49" s="20" t="s">
        <v>109</v>
      </c>
      <c r="B49" s="19">
        <v>121003.0</v>
      </c>
      <c r="C49" s="20">
        <v>721636.0</v>
      </c>
      <c r="D49" s="20" t="s">
        <v>296</v>
      </c>
      <c r="E49" s="15" t="str">
        <f>VLOOKUP(D49,Courier_compnay_invoice!$F:$G,2,0)</f>
        <v>Forward charges</v>
      </c>
      <c r="F49" s="15"/>
    </row>
    <row r="50">
      <c r="A50" s="20" t="s">
        <v>111</v>
      </c>
      <c r="B50" s="19">
        <v>121003.0</v>
      </c>
      <c r="C50" s="20">
        <v>831002.0</v>
      </c>
      <c r="D50" s="20" t="s">
        <v>296</v>
      </c>
      <c r="E50" s="15" t="str">
        <f>VLOOKUP(D50,Courier_compnay_invoice!$F:$G,2,0)</f>
        <v>Forward charges</v>
      </c>
      <c r="F50" s="15"/>
    </row>
    <row r="51">
      <c r="A51" s="20" t="s">
        <v>113</v>
      </c>
      <c r="B51" s="19">
        <v>121003.0</v>
      </c>
      <c r="C51" s="20">
        <v>226004.0</v>
      </c>
      <c r="D51" s="20" t="s">
        <v>294</v>
      </c>
      <c r="E51" s="15" t="str">
        <f>VLOOKUP(D51,Courier_compnay_invoice!$F:$G,2,0)</f>
        <v>Forward charges</v>
      </c>
      <c r="F51" s="15"/>
    </row>
    <row r="52">
      <c r="A52" s="20" t="s">
        <v>115</v>
      </c>
      <c r="B52" s="19">
        <v>121003.0</v>
      </c>
      <c r="C52" s="20">
        <v>248001.0</v>
      </c>
      <c r="D52" s="20" t="s">
        <v>294</v>
      </c>
      <c r="E52" s="15" t="str">
        <f>VLOOKUP(D52,Courier_compnay_invoice!$F:$G,2,0)</f>
        <v>Forward charges</v>
      </c>
      <c r="F52" s="15"/>
    </row>
    <row r="53">
      <c r="A53" s="20" t="s">
        <v>117</v>
      </c>
      <c r="B53" s="19">
        <v>121003.0</v>
      </c>
      <c r="C53" s="20">
        <v>410206.0</v>
      </c>
      <c r="D53" s="20" t="s">
        <v>296</v>
      </c>
      <c r="E53" s="15" t="str">
        <f>VLOOKUP(D53,Courier_compnay_invoice!$F:$G,2,0)</f>
        <v>Forward charges</v>
      </c>
      <c r="F53" s="15"/>
    </row>
    <row r="54">
      <c r="A54" s="20" t="s">
        <v>119</v>
      </c>
      <c r="B54" s="19">
        <v>121003.0</v>
      </c>
      <c r="C54" s="20">
        <v>516503.0</v>
      </c>
      <c r="D54" s="20" t="s">
        <v>296</v>
      </c>
      <c r="E54" s="15" t="str">
        <f>VLOOKUP(D54,Courier_compnay_invoice!$F:$G,2,0)</f>
        <v>Forward charges</v>
      </c>
      <c r="F54" s="15"/>
    </row>
    <row r="55">
      <c r="A55" s="20" t="s">
        <v>121</v>
      </c>
      <c r="B55" s="19">
        <v>121003.0</v>
      </c>
      <c r="C55" s="20">
        <v>742103.0</v>
      </c>
      <c r="D55" s="20" t="s">
        <v>296</v>
      </c>
      <c r="E55" s="15" t="str">
        <f>VLOOKUP(D55,Courier_compnay_invoice!$F:$G,2,0)</f>
        <v>Forward charges</v>
      </c>
      <c r="F55" s="15"/>
    </row>
    <row r="56">
      <c r="A56" s="20" t="s">
        <v>123</v>
      </c>
      <c r="B56" s="19">
        <v>121003.0</v>
      </c>
      <c r="C56" s="20">
        <v>452018.0</v>
      </c>
      <c r="D56" s="20" t="s">
        <v>296</v>
      </c>
      <c r="E56" s="15" t="str">
        <f>VLOOKUP(D56,Courier_compnay_invoice!$F:$G,2,0)</f>
        <v>Forward charges</v>
      </c>
      <c r="F56" s="15"/>
    </row>
    <row r="57">
      <c r="A57" s="20" t="s">
        <v>125</v>
      </c>
      <c r="B57" s="19">
        <v>121003.0</v>
      </c>
      <c r="C57" s="20">
        <v>208001.0</v>
      </c>
      <c r="D57" s="20" t="s">
        <v>294</v>
      </c>
      <c r="E57" s="15" t="str">
        <f>VLOOKUP(D57,Courier_compnay_invoice!$F:$G,2,0)</f>
        <v>Forward charges</v>
      </c>
      <c r="F57" s="15"/>
    </row>
    <row r="58">
      <c r="A58" s="20" t="s">
        <v>127</v>
      </c>
      <c r="B58" s="19">
        <v>121003.0</v>
      </c>
      <c r="C58" s="20">
        <v>244713.0</v>
      </c>
      <c r="D58" s="20" t="s">
        <v>294</v>
      </c>
      <c r="E58" s="15" t="str">
        <f>VLOOKUP(D58,Courier_compnay_invoice!$F:$G,2,0)</f>
        <v>Forward charges</v>
      </c>
      <c r="F58" s="15"/>
    </row>
    <row r="59">
      <c r="A59" s="20" t="s">
        <v>129</v>
      </c>
      <c r="B59" s="19">
        <v>121003.0</v>
      </c>
      <c r="C59" s="20">
        <v>580007.0</v>
      </c>
      <c r="D59" s="20" t="s">
        <v>296</v>
      </c>
      <c r="E59" s="15" t="str">
        <f>VLOOKUP(D59,Courier_compnay_invoice!$F:$G,2,0)</f>
        <v>Forward charges</v>
      </c>
      <c r="F59" s="15"/>
    </row>
    <row r="60">
      <c r="A60" s="20" t="s">
        <v>131</v>
      </c>
      <c r="B60" s="19">
        <v>121003.0</v>
      </c>
      <c r="C60" s="20">
        <v>360005.0</v>
      </c>
      <c r="D60" s="20" t="s">
        <v>296</v>
      </c>
      <c r="E60" s="15" t="str">
        <f>VLOOKUP(D60,Courier_compnay_invoice!$F:$G,2,0)</f>
        <v>Forward charges</v>
      </c>
      <c r="F60" s="15"/>
    </row>
    <row r="61">
      <c r="A61" s="20" t="s">
        <v>133</v>
      </c>
      <c r="B61" s="19">
        <v>121003.0</v>
      </c>
      <c r="C61" s="20">
        <v>313027.0</v>
      </c>
      <c r="D61" s="20" t="s">
        <v>294</v>
      </c>
      <c r="E61" s="15" t="str">
        <f>VLOOKUP(D61,Courier_compnay_invoice!$F:$G,2,0)</f>
        <v>Forward charges</v>
      </c>
      <c r="F61" s="15"/>
    </row>
    <row r="62">
      <c r="A62" s="20" t="s">
        <v>135</v>
      </c>
      <c r="B62" s="19">
        <v>121003.0</v>
      </c>
      <c r="C62" s="20">
        <v>341001.0</v>
      </c>
      <c r="D62" s="20" t="s">
        <v>294</v>
      </c>
      <c r="E62" s="15" t="str">
        <f>VLOOKUP(D62,Courier_compnay_invoice!$F:$G,2,0)</f>
        <v>Forward charges</v>
      </c>
      <c r="F62" s="15"/>
    </row>
    <row r="63">
      <c r="A63" s="20" t="s">
        <v>137</v>
      </c>
      <c r="B63" s="19">
        <v>121003.0</v>
      </c>
      <c r="C63" s="20">
        <v>332715.0</v>
      </c>
      <c r="D63" s="20" t="s">
        <v>294</v>
      </c>
      <c r="E63" s="15" t="str">
        <f>VLOOKUP(D63,Courier_compnay_invoice!$F:$G,2,0)</f>
        <v>Forward charges</v>
      </c>
      <c r="F63" s="15"/>
    </row>
    <row r="64">
      <c r="A64" s="20" t="s">
        <v>139</v>
      </c>
      <c r="B64" s="19">
        <v>121003.0</v>
      </c>
      <c r="C64" s="20">
        <v>302031.0</v>
      </c>
      <c r="D64" s="20" t="s">
        <v>294</v>
      </c>
      <c r="E64" s="15" t="str">
        <f>VLOOKUP(D64,Courier_compnay_invoice!$F:$G,2,0)</f>
        <v>Forward charges</v>
      </c>
      <c r="F64" s="15"/>
    </row>
    <row r="65">
      <c r="A65" s="20" t="s">
        <v>141</v>
      </c>
      <c r="B65" s="19">
        <v>121003.0</v>
      </c>
      <c r="C65" s="20">
        <v>335001.0</v>
      </c>
      <c r="D65" s="20" t="s">
        <v>294</v>
      </c>
      <c r="E65" s="15" t="str">
        <f>VLOOKUP(D65,Courier_compnay_invoice!$F:$G,2,0)</f>
        <v>Forward charges</v>
      </c>
      <c r="F65" s="15"/>
    </row>
    <row r="66">
      <c r="A66" s="20" t="s">
        <v>143</v>
      </c>
      <c r="B66" s="19">
        <v>121003.0</v>
      </c>
      <c r="C66" s="20">
        <v>334004.0</v>
      </c>
      <c r="D66" s="20" t="s">
        <v>294</v>
      </c>
      <c r="E66" s="15" t="str">
        <f>VLOOKUP(D66,Courier_compnay_invoice!$F:$G,2,0)</f>
        <v>Forward charges</v>
      </c>
      <c r="F66" s="15"/>
    </row>
    <row r="67">
      <c r="A67" s="20" t="s">
        <v>145</v>
      </c>
      <c r="B67" s="19">
        <v>121003.0</v>
      </c>
      <c r="C67" s="20">
        <v>321001.0</v>
      </c>
      <c r="D67" s="20" t="s">
        <v>294</v>
      </c>
      <c r="E67" s="15" t="str">
        <f>VLOOKUP(D67,Courier_compnay_invoice!$F:$G,2,0)</f>
        <v>Forward charges</v>
      </c>
      <c r="F67" s="15"/>
    </row>
    <row r="68">
      <c r="A68" s="20" t="s">
        <v>147</v>
      </c>
      <c r="B68" s="19">
        <v>121003.0</v>
      </c>
      <c r="C68" s="20">
        <v>324001.0</v>
      </c>
      <c r="D68" s="20" t="s">
        <v>294</v>
      </c>
      <c r="E68" s="15" t="str">
        <f>VLOOKUP(D68,Courier_compnay_invoice!$F:$G,2,0)</f>
        <v>Forward charges</v>
      </c>
      <c r="F68" s="15"/>
    </row>
    <row r="69">
      <c r="A69" s="20" t="s">
        <v>149</v>
      </c>
      <c r="B69" s="19">
        <v>121003.0</v>
      </c>
      <c r="C69" s="20">
        <v>321608.0</v>
      </c>
      <c r="D69" s="20" t="s">
        <v>294</v>
      </c>
      <c r="E69" s="15" t="str">
        <f>VLOOKUP(D69,Courier_compnay_invoice!$F:$G,2,0)</f>
        <v>Forward charges</v>
      </c>
      <c r="F69" s="15"/>
    </row>
    <row r="70">
      <c r="A70" s="20" t="s">
        <v>151</v>
      </c>
      <c r="B70" s="19">
        <v>121003.0</v>
      </c>
      <c r="C70" s="20">
        <v>302002.0</v>
      </c>
      <c r="D70" s="20" t="s">
        <v>294</v>
      </c>
      <c r="E70" s="15" t="str">
        <f>VLOOKUP(D70,Courier_compnay_invoice!$F:$G,2,0)</f>
        <v>Forward charges</v>
      </c>
      <c r="F70" s="15"/>
    </row>
    <row r="71">
      <c r="A71" s="20" t="s">
        <v>153</v>
      </c>
      <c r="B71" s="19">
        <v>121003.0</v>
      </c>
      <c r="C71" s="20">
        <v>311011.0</v>
      </c>
      <c r="D71" s="20" t="s">
        <v>294</v>
      </c>
      <c r="E71" s="15" t="str">
        <f>VLOOKUP(D71,Courier_compnay_invoice!$F:$G,2,0)</f>
        <v>Forward charges</v>
      </c>
      <c r="F71" s="15"/>
    </row>
    <row r="72">
      <c r="A72" s="20" t="s">
        <v>155</v>
      </c>
      <c r="B72" s="19">
        <v>121003.0</v>
      </c>
      <c r="C72" s="20">
        <v>306302.0</v>
      </c>
      <c r="D72" s="20" t="s">
        <v>294</v>
      </c>
      <c r="E72" s="15" t="str">
        <f>VLOOKUP(D72,Courier_compnay_invoice!$F:$G,2,0)</f>
        <v>Forward charges</v>
      </c>
      <c r="F72" s="15"/>
    </row>
    <row r="73">
      <c r="A73" s="20" t="s">
        <v>157</v>
      </c>
      <c r="B73" s="19">
        <v>121003.0</v>
      </c>
      <c r="C73" s="20">
        <v>313001.0</v>
      </c>
      <c r="D73" s="20" t="s">
        <v>294</v>
      </c>
      <c r="E73" s="15" t="str">
        <f>VLOOKUP(D73,Courier_compnay_invoice!$F:$G,2,0)</f>
        <v>Forward charges</v>
      </c>
      <c r="F73" s="15"/>
    </row>
    <row r="74">
      <c r="A74" s="20" t="s">
        <v>159</v>
      </c>
      <c r="B74" s="19">
        <v>121003.0</v>
      </c>
      <c r="C74" s="20">
        <v>302002.0</v>
      </c>
      <c r="D74" s="20" t="s">
        <v>294</v>
      </c>
      <c r="E74" s="15" t="str">
        <f>VLOOKUP(D74,Courier_compnay_invoice!$F:$G,2,0)</f>
        <v>Forward charges</v>
      </c>
      <c r="F74" s="15"/>
    </row>
    <row r="75">
      <c r="A75" s="20" t="s">
        <v>161</v>
      </c>
      <c r="B75" s="19">
        <v>121003.0</v>
      </c>
      <c r="C75" s="20">
        <v>322255.0</v>
      </c>
      <c r="D75" s="20" t="s">
        <v>294</v>
      </c>
      <c r="E75" s="15" t="str">
        <f>VLOOKUP(D75,Courier_compnay_invoice!$F:$G,2,0)</f>
        <v>Forward charges</v>
      </c>
      <c r="F75" s="15"/>
    </row>
    <row r="76">
      <c r="A76" s="20" t="s">
        <v>163</v>
      </c>
      <c r="B76" s="19">
        <v>121003.0</v>
      </c>
      <c r="C76" s="20">
        <v>302017.0</v>
      </c>
      <c r="D76" s="20" t="s">
        <v>294</v>
      </c>
      <c r="E76" s="15" t="str">
        <f>VLOOKUP(D76,Courier_compnay_invoice!$F:$G,2,0)</f>
        <v>Forward charges</v>
      </c>
      <c r="F76" s="15"/>
    </row>
    <row r="77">
      <c r="A77" s="20" t="s">
        <v>165</v>
      </c>
      <c r="B77" s="19">
        <v>121003.0</v>
      </c>
      <c r="C77" s="20">
        <v>302017.0</v>
      </c>
      <c r="D77" s="20" t="s">
        <v>294</v>
      </c>
      <c r="E77" s="15" t="str">
        <f>VLOOKUP(D77,Courier_compnay_invoice!$F:$G,2,0)</f>
        <v>Forward charges</v>
      </c>
      <c r="F77" s="15"/>
    </row>
    <row r="78">
      <c r="A78" s="20" t="s">
        <v>167</v>
      </c>
      <c r="B78" s="19">
        <v>121003.0</v>
      </c>
      <c r="C78" s="20">
        <v>335512.0</v>
      </c>
      <c r="D78" s="20" t="s">
        <v>294</v>
      </c>
      <c r="E78" s="15" t="str">
        <f>VLOOKUP(D78,Courier_compnay_invoice!$F:$G,2,0)</f>
        <v>Forward charges</v>
      </c>
      <c r="F78" s="15"/>
    </row>
    <row r="79">
      <c r="A79" s="20" t="s">
        <v>169</v>
      </c>
      <c r="B79" s="19">
        <v>121003.0</v>
      </c>
      <c r="C79" s="20">
        <v>313001.0</v>
      </c>
      <c r="D79" s="20" t="s">
        <v>294</v>
      </c>
      <c r="E79" s="15" t="str">
        <f>VLOOKUP(D79,Courier_compnay_invoice!$F:$G,2,0)</f>
        <v>Forward charges</v>
      </c>
      <c r="F79" s="15"/>
    </row>
    <row r="80">
      <c r="A80" s="20" t="s">
        <v>171</v>
      </c>
      <c r="B80" s="19">
        <v>121003.0</v>
      </c>
      <c r="C80" s="20">
        <v>313001.0</v>
      </c>
      <c r="D80" s="20" t="s">
        <v>294</v>
      </c>
      <c r="E80" s="15" t="str">
        <f>VLOOKUP(D80,Courier_compnay_invoice!$F:$G,2,0)</f>
        <v>Forward charges</v>
      </c>
      <c r="F80" s="15"/>
    </row>
    <row r="81">
      <c r="A81" s="20" t="s">
        <v>173</v>
      </c>
      <c r="B81" s="19">
        <v>121003.0</v>
      </c>
      <c r="C81" s="20">
        <v>307026.0</v>
      </c>
      <c r="D81" s="20" t="s">
        <v>294</v>
      </c>
      <c r="E81" s="15" t="str">
        <f>VLOOKUP(D81,Courier_compnay_invoice!$F:$G,2,0)</f>
        <v>Forward charges</v>
      </c>
      <c r="F81" s="15"/>
    </row>
    <row r="82">
      <c r="A82" s="20" t="s">
        <v>175</v>
      </c>
      <c r="B82" s="19">
        <v>121003.0</v>
      </c>
      <c r="C82" s="20">
        <v>327025.0</v>
      </c>
      <c r="D82" s="20" t="s">
        <v>294</v>
      </c>
      <c r="E82" s="15" t="str">
        <f>VLOOKUP(D82,Courier_compnay_invoice!$F:$G,2,0)</f>
        <v>Forward charges</v>
      </c>
      <c r="F82" s="15"/>
    </row>
    <row r="83">
      <c r="A83" s="20" t="s">
        <v>177</v>
      </c>
      <c r="B83" s="19">
        <v>121003.0</v>
      </c>
      <c r="C83" s="20">
        <v>313333.0</v>
      </c>
      <c r="D83" s="20" t="s">
        <v>294</v>
      </c>
      <c r="E83" s="15" t="str">
        <f>VLOOKUP(D83,Courier_compnay_invoice!$F:$G,2,0)</f>
        <v>Forward charges</v>
      </c>
      <c r="F83" s="15"/>
    </row>
    <row r="84">
      <c r="A84" s="20" t="s">
        <v>179</v>
      </c>
      <c r="B84" s="19">
        <v>121003.0</v>
      </c>
      <c r="C84" s="20">
        <v>313001.0</v>
      </c>
      <c r="D84" s="20" t="s">
        <v>294</v>
      </c>
      <c r="E84" s="15" t="str">
        <f>VLOOKUP(D84,Courier_compnay_invoice!$F:$G,2,0)</f>
        <v>Forward charges</v>
      </c>
      <c r="F84" s="15"/>
    </row>
    <row r="85">
      <c r="A85" s="20" t="s">
        <v>181</v>
      </c>
      <c r="B85" s="19">
        <v>121003.0</v>
      </c>
      <c r="C85" s="20">
        <v>342008.0</v>
      </c>
      <c r="D85" s="20" t="s">
        <v>294</v>
      </c>
      <c r="E85" s="15" t="str">
        <f>VLOOKUP(D85,Courier_compnay_invoice!$F:$G,2,0)</f>
        <v>Forward charges</v>
      </c>
      <c r="F85" s="15"/>
    </row>
    <row r="86">
      <c r="A86" s="20" t="s">
        <v>183</v>
      </c>
      <c r="B86" s="19">
        <v>121003.0</v>
      </c>
      <c r="C86" s="20">
        <v>314401.0</v>
      </c>
      <c r="D86" s="20" t="s">
        <v>294</v>
      </c>
      <c r="E86" s="15" t="str">
        <f>VLOOKUP(D86,Courier_compnay_invoice!$F:$G,2,0)</f>
        <v>Forward charges</v>
      </c>
      <c r="F86" s="15"/>
    </row>
    <row r="87">
      <c r="A87" s="20" t="s">
        <v>185</v>
      </c>
      <c r="B87" s="19">
        <v>121003.0</v>
      </c>
      <c r="C87" s="20">
        <v>342301.0</v>
      </c>
      <c r="D87" s="20" t="s">
        <v>294</v>
      </c>
      <c r="E87" s="15" t="str">
        <f>VLOOKUP(D87,Courier_compnay_invoice!$F:$G,2,0)</f>
        <v>Forward charges</v>
      </c>
      <c r="F87" s="15"/>
    </row>
    <row r="88">
      <c r="A88" s="20" t="s">
        <v>187</v>
      </c>
      <c r="B88" s="19">
        <v>121003.0</v>
      </c>
      <c r="C88" s="20">
        <v>313003.0</v>
      </c>
      <c r="D88" s="20" t="s">
        <v>294</v>
      </c>
      <c r="E88" s="15" t="str">
        <f>VLOOKUP(D88,Courier_compnay_invoice!$F:$G,2,0)</f>
        <v>Forward charges</v>
      </c>
      <c r="F88" s="15"/>
    </row>
    <row r="89">
      <c r="A89" s="20" t="s">
        <v>189</v>
      </c>
      <c r="B89" s="19">
        <v>121003.0</v>
      </c>
      <c r="C89" s="20">
        <v>173212.0</v>
      </c>
      <c r="D89" s="20" t="s">
        <v>297</v>
      </c>
      <c r="E89" s="15" t="str">
        <f>VLOOKUP(D89,Courier_compnay_invoice!$F:$G,2,0)</f>
        <v>Forward and RTO charges</v>
      </c>
      <c r="F89" s="15"/>
    </row>
    <row r="90">
      <c r="A90" s="20" t="s">
        <v>191</v>
      </c>
      <c r="B90" s="19">
        <v>121003.0</v>
      </c>
      <c r="C90" s="20">
        <v>174101.0</v>
      </c>
      <c r="D90" s="20" t="s">
        <v>297</v>
      </c>
      <c r="E90" s="15" t="str">
        <f>VLOOKUP(D90,Courier_compnay_invoice!$F:$G,2,0)</f>
        <v>Forward and RTO charges</v>
      </c>
      <c r="F90" s="15"/>
    </row>
    <row r="91">
      <c r="A91" s="20" t="s">
        <v>193</v>
      </c>
      <c r="B91" s="19">
        <v>121003.0</v>
      </c>
      <c r="C91" s="20">
        <v>173213.0</v>
      </c>
      <c r="D91" s="20" t="s">
        <v>297</v>
      </c>
      <c r="E91" s="15" t="str">
        <f>VLOOKUP(D91,Courier_compnay_invoice!$F:$G,2,0)</f>
        <v>Forward and RTO charges</v>
      </c>
      <c r="F91" s="15"/>
    </row>
    <row r="92">
      <c r="A92" s="20" t="s">
        <v>195</v>
      </c>
      <c r="B92" s="19">
        <v>121003.0</v>
      </c>
      <c r="C92" s="20">
        <v>302017.0</v>
      </c>
      <c r="D92" s="20" t="s">
        <v>294</v>
      </c>
      <c r="E92" s="15" t="str">
        <f>VLOOKUP(D92,Courier_compnay_invoice!$F:$G,2,0)</f>
        <v>Forward charges</v>
      </c>
      <c r="F92" s="15"/>
    </row>
    <row r="93">
      <c r="A93" s="20" t="s">
        <v>197</v>
      </c>
      <c r="B93" s="19">
        <v>121003.0</v>
      </c>
      <c r="C93" s="20">
        <v>322201.0</v>
      </c>
      <c r="D93" s="20" t="s">
        <v>294</v>
      </c>
      <c r="E93" s="15" t="str">
        <f>VLOOKUP(D93,Courier_compnay_invoice!$F:$G,2,0)</f>
        <v>Forward charges</v>
      </c>
      <c r="F93" s="15"/>
    </row>
    <row r="94">
      <c r="A94" s="20" t="s">
        <v>199</v>
      </c>
      <c r="B94" s="19">
        <v>121003.0</v>
      </c>
      <c r="C94" s="20">
        <v>314001.0</v>
      </c>
      <c r="D94" s="20" t="s">
        <v>294</v>
      </c>
      <c r="E94" s="15" t="str">
        <f>VLOOKUP(D94,Courier_compnay_invoice!$F:$G,2,0)</f>
        <v>Forward charges</v>
      </c>
      <c r="F94" s="15"/>
    </row>
    <row r="95">
      <c r="A95" s="20" t="s">
        <v>201</v>
      </c>
      <c r="B95" s="19">
        <v>121003.0</v>
      </c>
      <c r="C95" s="20">
        <v>331022.0</v>
      </c>
      <c r="D95" s="20" t="s">
        <v>294</v>
      </c>
      <c r="E95" s="15" t="str">
        <f>VLOOKUP(D95,Courier_compnay_invoice!$F:$G,2,0)</f>
        <v>Forward charges</v>
      </c>
      <c r="F95" s="15"/>
    </row>
    <row r="96">
      <c r="A96" s="20" t="s">
        <v>203</v>
      </c>
      <c r="B96" s="19">
        <v>121003.0</v>
      </c>
      <c r="C96" s="20">
        <v>305801.0</v>
      </c>
      <c r="D96" s="20" t="s">
        <v>294</v>
      </c>
      <c r="E96" s="15" t="str">
        <f>VLOOKUP(D96,Courier_compnay_invoice!$F:$G,2,0)</f>
        <v>Forward charges</v>
      </c>
      <c r="F96" s="15"/>
    </row>
    <row r="97">
      <c r="A97" s="20" t="s">
        <v>205</v>
      </c>
      <c r="B97" s="19">
        <v>121003.0</v>
      </c>
      <c r="C97" s="20">
        <v>335502.0</v>
      </c>
      <c r="D97" s="20" t="s">
        <v>294</v>
      </c>
      <c r="E97" s="15" t="str">
        <f>VLOOKUP(D97,Courier_compnay_invoice!$F:$G,2,0)</f>
        <v>Forward charges</v>
      </c>
      <c r="F97" s="15"/>
    </row>
    <row r="98">
      <c r="A98" s="20" t="s">
        <v>207</v>
      </c>
      <c r="B98" s="19">
        <v>121003.0</v>
      </c>
      <c r="C98" s="20">
        <v>306116.0</v>
      </c>
      <c r="D98" s="20" t="s">
        <v>294</v>
      </c>
      <c r="E98" s="15" t="str">
        <f>VLOOKUP(D98,Courier_compnay_invoice!$F:$G,2,0)</f>
        <v>Forward charges</v>
      </c>
      <c r="F98" s="15"/>
    </row>
    <row r="99">
      <c r="A99" s="20" t="s">
        <v>209</v>
      </c>
      <c r="B99" s="19">
        <v>121003.0</v>
      </c>
      <c r="C99" s="20">
        <v>311001.0</v>
      </c>
      <c r="D99" s="20" t="s">
        <v>294</v>
      </c>
      <c r="E99" s="15" t="str">
        <f>VLOOKUP(D99,Courier_compnay_invoice!$F:$G,2,0)</f>
        <v>Forward charges</v>
      </c>
      <c r="F99" s="15"/>
    </row>
    <row r="100">
      <c r="A100" s="20" t="s">
        <v>211</v>
      </c>
      <c r="B100" s="19">
        <v>121003.0</v>
      </c>
      <c r="C100" s="20">
        <v>302019.0</v>
      </c>
      <c r="D100" s="20" t="s">
        <v>294</v>
      </c>
      <c r="E100" s="15" t="str">
        <f>VLOOKUP(D100,Courier_compnay_invoice!$F:$G,2,0)</f>
        <v>Forward charges</v>
      </c>
      <c r="F100" s="15"/>
    </row>
    <row r="101">
      <c r="A101" s="20" t="s">
        <v>213</v>
      </c>
      <c r="B101" s="19">
        <v>121003.0</v>
      </c>
      <c r="C101" s="20">
        <v>302039.0</v>
      </c>
      <c r="D101" s="20" t="s">
        <v>294</v>
      </c>
      <c r="E101" s="15" t="str">
        <f>VLOOKUP(D101,Courier_compnay_invoice!$F:$G,2,0)</f>
        <v>Forward charges</v>
      </c>
      <c r="F101" s="15"/>
    </row>
    <row r="102">
      <c r="A102" s="20" t="s">
        <v>215</v>
      </c>
      <c r="B102" s="19">
        <v>121003.0</v>
      </c>
      <c r="C102" s="20">
        <v>335803.0</v>
      </c>
      <c r="D102" s="20" t="s">
        <v>294</v>
      </c>
      <c r="E102" s="15" t="str">
        <f>VLOOKUP(D102,Courier_compnay_invoice!$F:$G,2,0)</f>
        <v>Forward charges</v>
      </c>
      <c r="F102" s="15"/>
    </row>
    <row r="103">
      <c r="A103" s="20" t="s">
        <v>217</v>
      </c>
      <c r="B103" s="19">
        <v>121003.0</v>
      </c>
      <c r="C103" s="20">
        <v>335001.0</v>
      </c>
      <c r="D103" s="20" t="s">
        <v>294</v>
      </c>
      <c r="E103" s="15" t="str">
        <f>VLOOKUP(D103,Courier_compnay_invoice!$F:$G,2,0)</f>
        <v>Forward charges</v>
      </c>
      <c r="F103" s="15"/>
    </row>
    <row r="104">
      <c r="A104" s="20" t="s">
        <v>219</v>
      </c>
      <c r="B104" s="19">
        <v>121003.0</v>
      </c>
      <c r="C104" s="20">
        <v>175101.0</v>
      </c>
      <c r="D104" s="20" t="s">
        <v>297</v>
      </c>
      <c r="E104" s="15" t="str">
        <f>VLOOKUP(D104,Courier_compnay_invoice!$F:$G,2,0)</f>
        <v>Forward and RTO charges</v>
      </c>
      <c r="F104" s="15"/>
    </row>
    <row r="105">
      <c r="A105" s="20" t="s">
        <v>221</v>
      </c>
      <c r="B105" s="19">
        <v>121003.0</v>
      </c>
      <c r="C105" s="20">
        <v>303903.0</v>
      </c>
      <c r="D105" s="20" t="s">
        <v>294</v>
      </c>
      <c r="E105" s="15" t="str">
        <f>VLOOKUP(D105,Courier_compnay_invoice!$F:$G,2,0)</f>
        <v>Forward charges</v>
      </c>
      <c r="F105" s="15"/>
    </row>
    <row r="106">
      <c r="A106" s="20" t="s">
        <v>223</v>
      </c>
      <c r="B106" s="19">
        <v>121003.0</v>
      </c>
      <c r="C106" s="20">
        <v>342012.0</v>
      </c>
      <c r="D106" s="20" t="s">
        <v>294</v>
      </c>
      <c r="E106" s="15" t="str">
        <f>VLOOKUP(D106,Courier_compnay_invoice!$F:$G,2,0)</f>
        <v>Forward charges</v>
      </c>
      <c r="F106" s="15"/>
    </row>
    <row r="107">
      <c r="A107" s="20" t="s">
        <v>225</v>
      </c>
      <c r="B107" s="19">
        <v>121003.0</v>
      </c>
      <c r="C107" s="20">
        <v>334001.0</v>
      </c>
      <c r="D107" s="20" t="s">
        <v>294</v>
      </c>
      <c r="E107" s="15" t="str">
        <f>VLOOKUP(D107,Courier_compnay_invoice!$F:$G,2,0)</f>
        <v>Forward charges</v>
      </c>
      <c r="F107" s="15"/>
    </row>
    <row r="108">
      <c r="A108" s="20" t="s">
        <v>227</v>
      </c>
      <c r="B108" s="19">
        <v>121003.0</v>
      </c>
      <c r="C108" s="20">
        <v>302031.0</v>
      </c>
      <c r="D108" s="20" t="s">
        <v>294</v>
      </c>
      <c r="E108" s="15" t="str">
        <f>VLOOKUP(D108,Courier_compnay_invoice!$F:$G,2,0)</f>
        <v>Forward charges</v>
      </c>
      <c r="F108" s="15"/>
    </row>
    <row r="109">
      <c r="A109" s="20" t="s">
        <v>229</v>
      </c>
      <c r="B109" s="19">
        <v>121003.0</v>
      </c>
      <c r="C109" s="20">
        <v>302012.0</v>
      </c>
      <c r="D109" s="20" t="s">
        <v>294</v>
      </c>
      <c r="E109" s="15" t="str">
        <f>VLOOKUP(D109,Courier_compnay_invoice!$F:$G,2,0)</f>
        <v>Forward charges</v>
      </c>
      <c r="F109" s="15"/>
    </row>
    <row r="110">
      <c r="A110" s="20" t="s">
        <v>231</v>
      </c>
      <c r="B110" s="19">
        <v>121003.0</v>
      </c>
      <c r="C110" s="20">
        <v>342014.0</v>
      </c>
      <c r="D110" s="20" t="s">
        <v>294</v>
      </c>
      <c r="E110" s="15" t="str">
        <f>VLOOKUP(D110,Courier_compnay_invoice!$F:$G,2,0)</f>
        <v>Forward charges</v>
      </c>
      <c r="F110" s="15"/>
    </row>
    <row r="111">
      <c r="A111" s="20" t="s">
        <v>233</v>
      </c>
      <c r="B111" s="19">
        <v>121003.0</v>
      </c>
      <c r="C111" s="20">
        <v>324005.0</v>
      </c>
      <c r="D111" s="20" t="s">
        <v>294</v>
      </c>
      <c r="E111" s="15" t="str">
        <f>VLOOKUP(D111,Courier_compnay_invoice!$F:$G,2,0)</f>
        <v>Forward charges</v>
      </c>
      <c r="F111" s="15"/>
    </row>
    <row r="112">
      <c r="A112" s="20" t="s">
        <v>235</v>
      </c>
      <c r="B112" s="19">
        <v>121003.0</v>
      </c>
      <c r="C112" s="20">
        <v>302001.0</v>
      </c>
      <c r="D112" s="20" t="s">
        <v>294</v>
      </c>
      <c r="E112" s="15" t="str">
        <f>VLOOKUP(D112,Courier_compnay_invoice!$F:$G,2,0)</f>
        <v>Forward charges</v>
      </c>
      <c r="F112" s="15"/>
    </row>
    <row r="113">
      <c r="A113" s="20" t="s">
        <v>237</v>
      </c>
      <c r="B113" s="19">
        <v>121003.0</v>
      </c>
      <c r="C113" s="20">
        <v>302004.0</v>
      </c>
      <c r="D113" s="20" t="s">
        <v>294</v>
      </c>
      <c r="E113" s="15" t="str">
        <f>VLOOKUP(D113,Courier_compnay_invoice!$F:$G,2,0)</f>
        <v>Forward charges</v>
      </c>
      <c r="F113" s="15"/>
    </row>
    <row r="114">
      <c r="A114" s="20" t="s">
        <v>239</v>
      </c>
      <c r="B114" s="19">
        <v>121003.0</v>
      </c>
      <c r="C114" s="20">
        <v>302018.0</v>
      </c>
      <c r="D114" s="20" t="s">
        <v>294</v>
      </c>
      <c r="E114" s="15" t="str">
        <f>VLOOKUP(D114,Courier_compnay_invoice!$F:$G,2,0)</f>
        <v>Forward charges</v>
      </c>
      <c r="F114" s="15"/>
    </row>
    <row r="115">
      <c r="A115" s="20" t="s">
        <v>241</v>
      </c>
      <c r="B115" s="19">
        <v>121003.0</v>
      </c>
      <c r="C115" s="20">
        <v>302017.0</v>
      </c>
      <c r="D115" s="20" t="s">
        <v>294</v>
      </c>
      <c r="E115" s="15" t="str">
        <f>VLOOKUP(D115,Courier_compnay_invoice!$F:$G,2,0)</f>
        <v>Forward charges</v>
      </c>
      <c r="F115" s="15"/>
    </row>
    <row r="116">
      <c r="A116" s="20" t="s">
        <v>243</v>
      </c>
      <c r="B116" s="19">
        <v>121003.0</v>
      </c>
      <c r="C116" s="20">
        <v>324008.0</v>
      </c>
      <c r="D116" s="20" t="s">
        <v>294</v>
      </c>
      <c r="E116" s="15" t="str">
        <f>VLOOKUP(D116,Courier_compnay_invoice!$F:$G,2,0)</f>
        <v>Forward charges</v>
      </c>
      <c r="F116" s="15"/>
    </row>
    <row r="117">
      <c r="A117" s="20" t="s">
        <v>245</v>
      </c>
      <c r="B117" s="19">
        <v>121003.0</v>
      </c>
      <c r="C117" s="20">
        <v>302020.0</v>
      </c>
      <c r="D117" s="20" t="s">
        <v>294</v>
      </c>
      <c r="E117" s="15" t="str">
        <f>VLOOKUP(D117,Courier_compnay_invoice!$F:$G,2,0)</f>
        <v>Forward charges</v>
      </c>
      <c r="F117" s="15"/>
    </row>
    <row r="118">
      <c r="A118" s="20" t="s">
        <v>247</v>
      </c>
      <c r="B118" s="19">
        <v>121003.0</v>
      </c>
      <c r="C118" s="20">
        <v>302018.0</v>
      </c>
      <c r="D118" s="20" t="s">
        <v>294</v>
      </c>
      <c r="E118" s="15" t="str">
        <f>VLOOKUP(D118,Courier_compnay_invoice!$F:$G,2,0)</f>
        <v>Forward charges</v>
      </c>
      <c r="F118" s="15"/>
    </row>
    <row r="119">
      <c r="A119" s="20" t="s">
        <v>249</v>
      </c>
      <c r="B119" s="19">
        <v>121003.0</v>
      </c>
      <c r="C119" s="20">
        <v>302017.0</v>
      </c>
      <c r="D119" s="20" t="s">
        <v>294</v>
      </c>
      <c r="E119" s="15" t="str">
        <f>VLOOKUP(D119,Courier_compnay_invoice!$F:$G,2,0)</f>
        <v>Forward charges</v>
      </c>
      <c r="F119" s="15"/>
    </row>
    <row r="120">
      <c r="A120" s="20" t="s">
        <v>251</v>
      </c>
      <c r="B120" s="19">
        <v>121003.0</v>
      </c>
      <c r="C120" s="20">
        <v>302012.0</v>
      </c>
      <c r="D120" s="20" t="s">
        <v>294</v>
      </c>
      <c r="E120" s="15" t="str">
        <f>VLOOKUP(D120,Courier_compnay_invoice!$F:$G,2,0)</f>
        <v>Forward charges</v>
      </c>
      <c r="F120" s="15"/>
    </row>
    <row r="121">
      <c r="A121" s="20" t="s">
        <v>253</v>
      </c>
      <c r="B121" s="19">
        <v>121003.0</v>
      </c>
      <c r="C121" s="20">
        <v>325207.0</v>
      </c>
      <c r="D121" s="20" t="s">
        <v>294</v>
      </c>
      <c r="E121" s="15" t="str">
        <f>VLOOKUP(D121,Courier_compnay_invoice!$F:$G,2,0)</f>
        <v>Forward charges</v>
      </c>
      <c r="F121" s="15"/>
    </row>
    <row r="122">
      <c r="A122" s="20" t="s">
        <v>255</v>
      </c>
      <c r="B122" s="19">
        <v>121003.0</v>
      </c>
      <c r="C122" s="20">
        <v>303702.0</v>
      </c>
      <c r="D122" s="20" t="s">
        <v>294</v>
      </c>
      <c r="E122" s="15" t="str">
        <f>VLOOKUP(D122,Courier_compnay_invoice!$F:$G,2,0)</f>
        <v>Forward charges</v>
      </c>
      <c r="F122" s="15"/>
    </row>
    <row r="123">
      <c r="A123" s="20" t="s">
        <v>257</v>
      </c>
      <c r="B123" s="19">
        <v>121003.0</v>
      </c>
      <c r="C123" s="20">
        <v>313301.0</v>
      </c>
      <c r="D123" s="20" t="s">
        <v>294</v>
      </c>
      <c r="E123" s="15" t="str">
        <f>VLOOKUP(D123,Courier_compnay_invoice!$F:$G,2,0)</f>
        <v>Forward charges</v>
      </c>
      <c r="F123" s="15"/>
    </row>
    <row r="124">
      <c r="A124" s="20" t="s">
        <v>259</v>
      </c>
      <c r="B124" s="19">
        <v>121003.0</v>
      </c>
      <c r="C124" s="20">
        <v>173212.0</v>
      </c>
      <c r="D124" s="20" t="s">
        <v>297</v>
      </c>
      <c r="E124" s="15" t="str">
        <f>VLOOKUP(D124,Courier_compnay_invoice!$F:$G,2,0)</f>
        <v>Forward and RTO charges</v>
      </c>
      <c r="F124" s="15"/>
    </row>
    <row r="125">
      <c r="A125" s="20" t="s">
        <v>261</v>
      </c>
      <c r="B125" s="19">
        <v>121003.0</v>
      </c>
      <c r="C125" s="20">
        <v>302020.0</v>
      </c>
      <c r="D125" s="20" t="s">
        <v>294</v>
      </c>
      <c r="E125" s="15" t="str">
        <f>VLOOKUP(D125,Courier_compnay_invoice!$F:$G,2,0)</f>
        <v>Forward charges</v>
      </c>
      <c r="F125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5.5"/>
  </cols>
  <sheetData>
    <row r="1">
      <c r="A1" s="1" t="s">
        <v>0</v>
      </c>
      <c r="B1" s="17" t="s">
        <v>490</v>
      </c>
      <c r="C1" s="17" t="s">
        <v>491</v>
      </c>
      <c r="D1" s="21" t="s">
        <v>492</v>
      </c>
      <c r="E1" s="21" t="s">
        <v>493</v>
      </c>
    </row>
    <row r="2">
      <c r="A2" s="19" t="s">
        <v>193</v>
      </c>
      <c r="B2" s="20">
        <v>8.904223818706E12</v>
      </c>
      <c r="C2" s="20" t="s">
        <v>494</v>
      </c>
      <c r="D2" s="15">
        <f>VLOOKUP(B2,'Company X - SKU Master'!$A:$B,2,0)</f>
        <v>127</v>
      </c>
      <c r="E2" s="22">
        <f t="shared" ref="E2:E401" si="1">(C2*D2)/1000</f>
        <v>0.127</v>
      </c>
    </row>
    <row r="3">
      <c r="A3" s="19" t="s">
        <v>193</v>
      </c>
      <c r="B3" s="20">
        <v>8.904223819093E12</v>
      </c>
      <c r="C3" s="20" t="s">
        <v>494</v>
      </c>
      <c r="D3" s="15">
        <f>VLOOKUP(B3,'Company X - SKU Master'!$A:$B,2,0)</f>
        <v>150</v>
      </c>
      <c r="E3" s="22">
        <f t="shared" si="1"/>
        <v>0.15</v>
      </c>
    </row>
    <row r="4">
      <c r="A4" s="19" t="s">
        <v>193</v>
      </c>
      <c r="B4" s="20">
        <v>8.904223819109E12</v>
      </c>
      <c r="C4" s="20" t="s">
        <v>494</v>
      </c>
      <c r="D4" s="15">
        <f>VLOOKUP(B4,'Company X - SKU Master'!$A:$B,2,0)</f>
        <v>100</v>
      </c>
      <c r="E4" s="22">
        <f t="shared" si="1"/>
        <v>0.1</v>
      </c>
    </row>
    <row r="5">
      <c r="A5" s="19" t="s">
        <v>193</v>
      </c>
      <c r="B5" s="20">
        <v>8.90422381843E12</v>
      </c>
      <c r="C5" s="20" t="s">
        <v>494</v>
      </c>
      <c r="D5" s="15">
        <f>VLOOKUP(B5,'Company X - SKU Master'!$A:$B,2,0)</f>
        <v>165</v>
      </c>
      <c r="E5" s="22">
        <f t="shared" si="1"/>
        <v>0.165</v>
      </c>
    </row>
    <row r="6">
      <c r="A6" s="19" t="s">
        <v>193</v>
      </c>
      <c r="B6" s="20">
        <v>8.904223819277E12</v>
      </c>
      <c r="C6" s="20" t="s">
        <v>494</v>
      </c>
      <c r="D6" s="15">
        <f>VLOOKUP(B6,'Company X - SKU Master'!$A:$B,2,0)</f>
        <v>350</v>
      </c>
      <c r="E6" s="22">
        <f t="shared" si="1"/>
        <v>0.35</v>
      </c>
    </row>
    <row r="7">
      <c r="A7" s="19" t="s">
        <v>193</v>
      </c>
      <c r="B7" s="20" t="s">
        <v>495</v>
      </c>
      <c r="C7" s="20" t="s">
        <v>494</v>
      </c>
      <c r="D7" s="15">
        <f>VLOOKUP(B7,'Company X - SKU Master'!$A:$B,2,0)</f>
        <v>500</v>
      </c>
      <c r="E7" s="22">
        <f t="shared" si="1"/>
        <v>0.5</v>
      </c>
    </row>
    <row r="8">
      <c r="A8" s="19" t="s">
        <v>193</v>
      </c>
      <c r="B8" s="20">
        <v>8.904223818638E12</v>
      </c>
      <c r="C8" s="20" t="s">
        <v>496</v>
      </c>
      <c r="D8" s="15">
        <f>VLOOKUP(B8,'Company X - SKU Master'!$A:$B,2,0)</f>
        <v>137</v>
      </c>
      <c r="E8" s="22">
        <f t="shared" si="1"/>
        <v>0.274</v>
      </c>
    </row>
    <row r="9">
      <c r="A9" s="19" t="s">
        <v>193</v>
      </c>
      <c r="B9" s="20" t="s">
        <v>497</v>
      </c>
      <c r="C9" s="20" t="s">
        <v>494</v>
      </c>
      <c r="D9" s="15">
        <f>VLOOKUP(B9,'Company X - SKU Master'!$A:$B,2,0)</f>
        <v>10</v>
      </c>
      <c r="E9" s="22">
        <f t="shared" si="1"/>
        <v>0.01</v>
      </c>
    </row>
    <row r="10">
      <c r="A10" s="19" t="s">
        <v>75</v>
      </c>
      <c r="B10" s="20">
        <v>8.904223819024E12</v>
      </c>
      <c r="C10" s="20" t="s">
        <v>498</v>
      </c>
      <c r="D10" s="15">
        <f>VLOOKUP(B10,'Company X - SKU Master'!$A:$B,2,0)</f>
        <v>112</v>
      </c>
      <c r="E10" s="22">
        <f t="shared" si="1"/>
        <v>0.448</v>
      </c>
    </row>
    <row r="11">
      <c r="A11" s="19" t="s">
        <v>75</v>
      </c>
      <c r="B11" s="20">
        <v>8.904223819291E12</v>
      </c>
      <c r="C11" s="20" t="s">
        <v>498</v>
      </c>
      <c r="D11" s="15">
        <f>VLOOKUP(B11,'Company X - SKU Master'!$A:$B,2,0)</f>
        <v>112</v>
      </c>
      <c r="E11" s="22">
        <f t="shared" si="1"/>
        <v>0.448</v>
      </c>
    </row>
    <row r="12">
      <c r="A12" s="19" t="s">
        <v>75</v>
      </c>
      <c r="B12" s="20">
        <v>8.904223818638E12</v>
      </c>
      <c r="C12" s="20" t="s">
        <v>499</v>
      </c>
      <c r="D12" s="15">
        <f>VLOOKUP(B12,'Company X - SKU Master'!$A:$B,2,0)</f>
        <v>137</v>
      </c>
      <c r="E12" s="22">
        <f t="shared" si="1"/>
        <v>0.411</v>
      </c>
    </row>
    <row r="13">
      <c r="A13" s="19" t="s">
        <v>75</v>
      </c>
      <c r="B13" s="20">
        <v>8.904223818669E12</v>
      </c>
      <c r="C13" s="20" t="s">
        <v>494</v>
      </c>
      <c r="D13" s="15">
        <f>VLOOKUP(B13,'Company X - SKU Master'!$A:$B,2,0)</f>
        <v>240</v>
      </c>
      <c r="E13" s="22">
        <f t="shared" si="1"/>
        <v>0.24</v>
      </c>
    </row>
    <row r="14">
      <c r="A14" s="19" t="s">
        <v>75</v>
      </c>
      <c r="B14" s="20" t="s">
        <v>497</v>
      </c>
      <c r="C14" s="20" t="s">
        <v>494</v>
      </c>
      <c r="D14" s="15">
        <f>VLOOKUP(B14,'Company X - SKU Master'!$A:$B,2,0)</f>
        <v>10</v>
      </c>
      <c r="E14" s="22">
        <f t="shared" si="1"/>
        <v>0.01</v>
      </c>
    </row>
    <row r="15">
      <c r="A15" s="19" t="s">
        <v>73</v>
      </c>
      <c r="B15" s="20">
        <v>8.904223819291E12</v>
      </c>
      <c r="C15" s="20" t="s">
        <v>496</v>
      </c>
      <c r="D15" s="15">
        <f>VLOOKUP(B15,'Company X - SKU Master'!$A:$B,2,0)</f>
        <v>112</v>
      </c>
      <c r="E15" s="22">
        <f t="shared" si="1"/>
        <v>0.224</v>
      </c>
    </row>
    <row r="16">
      <c r="A16" s="19" t="s">
        <v>73</v>
      </c>
      <c r="B16" s="20">
        <v>8.904223819031E12</v>
      </c>
      <c r="C16" s="20" t="s">
        <v>496</v>
      </c>
      <c r="D16" s="15">
        <f>VLOOKUP(B16,'Company X - SKU Master'!$A:$B,2,0)</f>
        <v>112</v>
      </c>
      <c r="E16" s="22">
        <f t="shared" si="1"/>
        <v>0.224</v>
      </c>
    </row>
    <row r="17">
      <c r="A17" s="19" t="s">
        <v>73</v>
      </c>
      <c r="B17" s="20">
        <v>8.904223819024E12</v>
      </c>
      <c r="C17" s="20" t="s">
        <v>496</v>
      </c>
      <c r="D17" s="15">
        <f>VLOOKUP(B17,'Company X - SKU Master'!$A:$B,2,0)</f>
        <v>112</v>
      </c>
      <c r="E17" s="22">
        <f t="shared" si="1"/>
        <v>0.224</v>
      </c>
    </row>
    <row r="18">
      <c r="A18" s="19" t="s">
        <v>185</v>
      </c>
      <c r="B18" s="20">
        <v>8.904223819468E12</v>
      </c>
      <c r="C18" s="20" t="s">
        <v>496</v>
      </c>
      <c r="D18" s="15">
        <f>VLOOKUP(B18,'Company X - SKU Master'!$A:$B,2,0)</f>
        <v>240</v>
      </c>
      <c r="E18" s="22">
        <f t="shared" si="1"/>
        <v>0.48</v>
      </c>
    </row>
    <row r="19">
      <c r="A19" s="19" t="s">
        <v>185</v>
      </c>
      <c r="B19" s="20">
        <v>8.904223819291E12</v>
      </c>
      <c r="C19" s="20" t="s">
        <v>500</v>
      </c>
      <c r="D19" s="15">
        <f>VLOOKUP(B19,'Company X - SKU Master'!$A:$B,2,0)</f>
        <v>112</v>
      </c>
      <c r="E19" s="22">
        <f t="shared" si="1"/>
        <v>0.896</v>
      </c>
    </row>
    <row r="20">
      <c r="A20" s="19" t="s">
        <v>181</v>
      </c>
      <c r="B20" s="20">
        <v>8.90422381913E12</v>
      </c>
      <c r="C20" s="20" t="s">
        <v>494</v>
      </c>
      <c r="D20" s="15">
        <f>VLOOKUP(B20,'Company X - SKU Master'!$A:$B,2,0)</f>
        <v>350</v>
      </c>
      <c r="E20" s="22">
        <f t="shared" si="1"/>
        <v>0.35</v>
      </c>
    </row>
    <row r="21">
      <c r="A21" s="19" t="s">
        <v>181</v>
      </c>
      <c r="B21" s="20">
        <v>8.904223818706E12</v>
      </c>
      <c r="C21" s="20" t="s">
        <v>494</v>
      </c>
      <c r="D21" s="15">
        <f>VLOOKUP(B21,'Company X - SKU Master'!$A:$B,2,0)</f>
        <v>127</v>
      </c>
      <c r="E21" s="22">
        <f t="shared" si="1"/>
        <v>0.127</v>
      </c>
    </row>
    <row r="22">
      <c r="A22" s="19" t="s">
        <v>179</v>
      </c>
      <c r="B22" s="20">
        <v>8.904223818591E12</v>
      </c>
      <c r="C22" s="20" t="s">
        <v>496</v>
      </c>
      <c r="D22" s="15">
        <f>VLOOKUP(B22,'Company X - SKU Master'!$A:$B,2,0)</f>
        <v>120</v>
      </c>
      <c r="E22" s="22">
        <f t="shared" si="1"/>
        <v>0.24</v>
      </c>
    </row>
    <row r="23">
      <c r="A23" s="19" t="s">
        <v>177</v>
      </c>
      <c r="B23" s="20">
        <v>8.90422381885E12</v>
      </c>
      <c r="C23" s="20" t="s">
        <v>494</v>
      </c>
      <c r="D23" s="15">
        <f>VLOOKUP(B23,'Company X - SKU Master'!$A:$B,2,0)</f>
        <v>240</v>
      </c>
      <c r="E23" s="22">
        <f t="shared" si="1"/>
        <v>0.24</v>
      </c>
    </row>
    <row r="24">
      <c r="A24" s="19" t="s">
        <v>177</v>
      </c>
      <c r="B24" s="20">
        <v>8.90422381843E12</v>
      </c>
      <c r="C24" s="20" t="s">
        <v>494</v>
      </c>
      <c r="D24" s="15">
        <f>VLOOKUP(B24,'Company X - SKU Master'!$A:$B,2,0)</f>
        <v>165</v>
      </c>
      <c r="E24" s="22">
        <f t="shared" si="1"/>
        <v>0.165</v>
      </c>
    </row>
    <row r="25">
      <c r="A25" s="19" t="s">
        <v>177</v>
      </c>
      <c r="B25" s="20">
        <v>8.90422381913E12</v>
      </c>
      <c r="C25" s="20" t="s">
        <v>494</v>
      </c>
      <c r="D25" s="15">
        <f>VLOOKUP(B25,'Company X - SKU Master'!$A:$B,2,0)</f>
        <v>350</v>
      </c>
      <c r="E25" s="22">
        <f t="shared" si="1"/>
        <v>0.35</v>
      </c>
    </row>
    <row r="26">
      <c r="A26" s="19" t="s">
        <v>175</v>
      </c>
      <c r="B26" s="20">
        <v>8.904223819468E12</v>
      </c>
      <c r="C26" s="20" t="s">
        <v>494</v>
      </c>
      <c r="D26" s="15">
        <f>VLOOKUP(B26,'Company X - SKU Master'!$A:$B,2,0)</f>
        <v>240</v>
      </c>
      <c r="E26" s="22">
        <f t="shared" si="1"/>
        <v>0.24</v>
      </c>
    </row>
    <row r="27">
      <c r="A27" s="19" t="s">
        <v>173</v>
      </c>
      <c r="B27" s="20">
        <v>8.90422381843E12</v>
      </c>
      <c r="C27" s="20" t="s">
        <v>494</v>
      </c>
      <c r="D27" s="15">
        <f>VLOOKUP(B27,'Company X - SKU Master'!$A:$B,2,0)</f>
        <v>165</v>
      </c>
      <c r="E27" s="22">
        <f t="shared" si="1"/>
        <v>0.165</v>
      </c>
    </row>
    <row r="28">
      <c r="A28" s="19" t="s">
        <v>183</v>
      </c>
      <c r="B28" s="20">
        <v>8.90422381898E12</v>
      </c>
      <c r="C28" s="20" t="s">
        <v>494</v>
      </c>
      <c r="D28" s="15">
        <f>VLOOKUP(B28,'Company X - SKU Master'!$A:$B,2,0)</f>
        <v>110</v>
      </c>
      <c r="E28" s="22">
        <f t="shared" si="1"/>
        <v>0.11</v>
      </c>
    </row>
    <row r="29">
      <c r="A29" s="19" t="s">
        <v>183</v>
      </c>
      <c r="B29" s="20">
        <v>8.904223819031E12</v>
      </c>
      <c r="C29" s="20" t="s">
        <v>496</v>
      </c>
      <c r="D29" s="15">
        <f>VLOOKUP(B29,'Company X - SKU Master'!$A:$B,2,0)</f>
        <v>112</v>
      </c>
      <c r="E29" s="22">
        <f t="shared" si="1"/>
        <v>0.224</v>
      </c>
    </row>
    <row r="30">
      <c r="A30" s="19" t="s">
        <v>183</v>
      </c>
      <c r="B30" s="20">
        <v>8.904223819024E12</v>
      </c>
      <c r="C30" s="20" t="s">
        <v>496</v>
      </c>
      <c r="D30" s="15">
        <f>VLOOKUP(B30,'Company X - SKU Master'!$A:$B,2,0)</f>
        <v>112</v>
      </c>
      <c r="E30" s="22">
        <f t="shared" si="1"/>
        <v>0.224</v>
      </c>
    </row>
    <row r="31">
      <c r="A31" s="19" t="s">
        <v>171</v>
      </c>
      <c r="B31" s="20">
        <v>8.904223818614E12</v>
      </c>
      <c r="C31" s="20" t="s">
        <v>494</v>
      </c>
      <c r="D31" s="15">
        <f>VLOOKUP(B31,'Company X - SKU Master'!$A:$B,2,0)</f>
        <v>65</v>
      </c>
      <c r="E31" s="22">
        <f t="shared" si="1"/>
        <v>0.065</v>
      </c>
    </row>
    <row r="32">
      <c r="A32" s="19" t="s">
        <v>171</v>
      </c>
      <c r="B32" s="20">
        <v>8.904223819024E12</v>
      </c>
      <c r="C32" s="20" t="s">
        <v>494</v>
      </c>
      <c r="D32" s="15">
        <f>VLOOKUP(B32,'Company X - SKU Master'!$A:$B,2,0)</f>
        <v>112</v>
      </c>
      <c r="E32" s="22">
        <f t="shared" si="1"/>
        <v>0.112</v>
      </c>
    </row>
    <row r="33">
      <c r="A33" s="19" t="s">
        <v>69</v>
      </c>
      <c r="B33" s="20">
        <v>8.904223819321E12</v>
      </c>
      <c r="C33" s="20" t="s">
        <v>494</v>
      </c>
      <c r="D33" s="15">
        <f>VLOOKUP(B33,'Company X - SKU Master'!$A:$B,2,0)</f>
        <v>600</v>
      </c>
      <c r="E33" s="22">
        <f t="shared" si="1"/>
        <v>0.6</v>
      </c>
    </row>
    <row r="34">
      <c r="A34" s="19" t="s">
        <v>69</v>
      </c>
      <c r="B34" s="20">
        <v>8.904223819338E12</v>
      </c>
      <c r="C34" s="20" t="s">
        <v>494</v>
      </c>
      <c r="D34" s="15">
        <f>VLOOKUP(B34,'Company X - SKU Master'!$A:$B,2,0)</f>
        <v>600</v>
      </c>
      <c r="E34" s="22">
        <f t="shared" si="1"/>
        <v>0.6</v>
      </c>
    </row>
    <row r="35">
      <c r="A35" s="19" t="s">
        <v>169</v>
      </c>
      <c r="B35" s="20">
        <v>8.904223818942E12</v>
      </c>
      <c r="C35" s="20" t="s">
        <v>496</v>
      </c>
      <c r="D35" s="15">
        <f>VLOOKUP(B35,'Company X - SKU Master'!$A:$B,2,0)</f>
        <v>133</v>
      </c>
      <c r="E35" s="22">
        <f t="shared" si="1"/>
        <v>0.266</v>
      </c>
    </row>
    <row r="36">
      <c r="A36" s="19" t="s">
        <v>169</v>
      </c>
      <c r="B36" s="20">
        <v>8.904223818683E12</v>
      </c>
      <c r="C36" s="20" t="s">
        <v>496</v>
      </c>
      <c r="D36" s="15">
        <f>VLOOKUP(B36,'Company X - SKU Master'!$A:$B,2,0)</f>
        <v>121</v>
      </c>
      <c r="E36" s="22">
        <f t="shared" si="1"/>
        <v>0.242</v>
      </c>
    </row>
    <row r="37">
      <c r="A37" s="19" t="s">
        <v>169</v>
      </c>
      <c r="B37" s="20">
        <v>8.904223819239E12</v>
      </c>
      <c r="C37" s="20" t="s">
        <v>494</v>
      </c>
      <c r="D37" s="15">
        <f>VLOOKUP(B37,'Company X - SKU Master'!$A:$B,2,0)</f>
        <v>290</v>
      </c>
      <c r="E37" s="22">
        <f t="shared" si="1"/>
        <v>0.29</v>
      </c>
    </row>
    <row r="38">
      <c r="A38" s="19" t="s">
        <v>169</v>
      </c>
      <c r="B38" s="20">
        <v>8.904223819246E12</v>
      </c>
      <c r="C38" s="20" t="s">
        <v>494</v>
      </c>
      <c r="D38" s="15">
        <f>VLOOKUP(B38,'Company X - SKU Master'!$A:$B,2,0)</f>
        <v>290</v>
      </c>
      <c r="E38" s="22">
        <f t="shared" si="1"/>
        <v>0.29</v>
      </c>
    </row>
    <row r="39">
      <c r="A39" s="19" t="s">
        <v>169</v>
      </c>
      <c r="B39" s="20">
        <v>8.904223819253E12</v>
      </c>
      <c r="C39" s="20" t="s">
        <v>494</v>
      </c>
      <c r="D39" s="15">
        <f>VLOOKUP(B39,'Company X - SKU Master'!$A:$B,2,0)</f>
        <v>290</v>
      </c>
      <c r="E39" s="22">
        <f t="shared" si="1"/>
        <v>0.29</v>
      </c>
    </row>
    <row r="40">
      <c r="A40" s="19" t="s">
        <v>169</v>
      </c>
      <c r="B40" s="20">
        <v>8.904223818669E12</v>
      </c>
      <c r="C40" s="20" t="s">
        <v>494</v>
      </c>
      <c r="D40" s="15">
        <f>VLOOKUP(B40,'Company X - SKU Master'!$A:$B,2,0)</f>
        <v>240</v>
      </c>
      <c r="E40" s="22">
        <f t="shared" si="1"/>
        <v>0.24</v>
      </c>
    </row>
    <row r="41">
      <c r="A41" s="19" t="s">
        <v>169</v>
      </c>
      <c r="B41" s="20">
        <v>8.904223819147E12</v>
      </c>
      <c r="C41" s="20" t="s">
        <v>494</v>
      </c>
      <c r="D41" s="15">
        <f>VLOOKUP(B41,'Company X - SKU Master'!$A:$B,2,0)</f>
        <v>240</v>
      </c>
      <c r="E41" s="22">
        <f t="shared" si="1"/>
        <v>0.24</v>
      </c>
    </row>
    <row r="42">
      <c r="A42" s="19" t="s">
        <v>169</v>
      </c>
      <c r="B42" s="20">
        <v>8.90422381885E12</v>
      </c>
      <c r="C42" s="20" t="s">
        <v>494</v>
      </c>
      <c r="D42" s="15">
        <f>VLOOKUP(B42,'Company X - SKU Master'!$A:$B,2,0)</f>
        <v>240</v>
      </c>
      <c r="E42" s="22">
        <f t="shared" si="1"/>
        <v>0.24</v>
      </c>
    </row>
    <row r="43">
      <c r="A43" s="19" t="s">
        <v>257</v>
      </c>
      <c r="B43" s="20">
        <v>8.904223815859E12</v>
      </c>
      <c r="C43" s="20" t="s">
        <v>494</v>
      </c>
      <c r="D43" s="15">
        <f>VLOOKUP(B43,'Company X - SKU Master'!$A:$B,2,0)</f>
        <v>165</v>
      </c>
      <c r="E43" s="22">
        <f t="shared" si="1"/>
        <v>0.165</v>
      </c>
    </row>
    <row r="44">
      <c r="A44" s="19" t="s">
        <v>257</v>
      </c>
      <c r="B44" s="20">
        <v>8.904223817501E12</v>
      </c>
      <c r="C44" s="20" t="s">
        <v>494</v>
      </c>
      <c r="D44" s="15">
        <f>VLOOKUP(B44,'Company X - SKU Master'!$A:$B,2,0)</f>
        <v>350</v>
      </c>
      <c r="E44" s="22">
        <f t="shared" si="1"/>
        <v>0.35</v>
      </c>
    </row>
    <row r="45">
      <c r="A45" s="19" t="s">
        <v>187</v>
      </c>
      <c r="B45" s="20">
        <v>8.904223817273E12</v>
      </c>
      <c r="C45" s="20" t="s">
        <v>494</v>
      </c>
      <c r="D45" s="15">
        <f>VLOOKUP(B45,'Company X - SKU Master'!$A:$B,2,0)</f>
        <v>65</v>
      </c>
      <c r="E45" s="22">
        <f t="shared" si="1"/>
        <v>0.065</v>
      </c>
    </row>
    <row r="46">
      <c r="A46" s="19" t="s">
        <v>191</v>
      </c>
      <c r="B46" s="20">
        <v>8.904223818942E12</v>
      </c>
      <c r="C46" s="20" t="s">
        <v>494</v>
      </c>
      <c r="D46" s="15">
        <f>VLOOKUP(B46,'Company X - SKU Master'!$A:$B,2,0)</f>
        <v>133</v>
      </c>
      <c r="E46" s="22">
        <f t="shared" si="1"/>
        <v>0.133</v>
      </c>
    </row>
    <row r="47">
      <c r="A47" s="19" t="s">
        <v>191</v>
      </c>
      <c r="B47" s="20">
        <v>8.904223818706E12</v>
      </c>
      <c r="C47" s="20" t="s">
        <v>494</v>
      </c>
      <c r="D47" s="15">
        <f>VLOOKUP(B47,'Company X - SKU Master'!$A:$B,2,0)</f>
        <v>127</v>
      </c>
      <c r="E47" s="22">
        <f t="shared" si="1"/>
        <v>0.127</v>
      </c>
    </row>
    <row r="48">
      <c r="A48" s="19" t="s">
        <v>191</v>
      </c>
      <c r="B48" s="20" t="s">
        <v>497</v>
      </c>
      <c r="C48" s="20" t="s">
        <v>494</v>
      </c>
      <c r="D48" s="15">
        <f>VLOOKUP(B48,'Company X - SKU Master'!$A:$B,2,0)</f>
        <v>10</v>
      </c>
      <c r="E48" s="22">
        <f t="shared" si="1"/>
        <v>0.01</v>
      </c>
    </row>
    <row r="49">
      <c r="A49" s="19" t="s">
        <v>67</v>
      </c>
      <c r="B49" s="20">
        <v>8.904223819147E12</v>
      </c>
      <c r="C49" s="20" t="s">
        <v>494</v>
      </c>
      <c r="D49" s="15">
        <f>VLOOKUP(B49,'Company X - SKU Master'!$A:$B,2,0)</f>
        <v>240</v>
      </c>
      <c r="E49" s="22">
        <f t="shared" si="1"/>
        <v>0.24</v>
      </c>
    </row>
    <row r="50">
      <c r="A50" s="19" t="s">
        <v>67</v>
      </c>
      <c r="B50" s="20">
        <v>8.904223818935E12</v>
      </c>
      <c r="C50" s="20" t="s">
        <v>498</v>
      </c>
      <c r="D50" s="15">
        <f>VLOOKUP(B50,'Company X - SKU Master'!$A:$B,2,0)</f>
        <v>120</v>
      </c>
      <c r="E50" s="22">
        <f t="shared" si="1"/>
        <v>0.48</v>
      </c>
    </row>
    <row r="51">
      <c r="A51" s="19" t="s">
        <v>67</v>
      </c>
      <c r="B51" s="20">
        <v>8.904223818683E12</v>
      </c>
      <c r="C51" s="20" t="s">
        <v>494</v>
      </c>
      <c r="D51" s="15">
        <f>VLOOKUP(B51,'Company X - SKU Master'!$A:$B,2,0)</f>
        <v>121</v>
      </c>
      <c r="E51" s="22">
        <f t="shared" si="1"/>
        <v>0.121</v>
      </c>
    </row>
    <row r="52">
      <c r="A52" s="19" t="s">
        <v>65</v>
      </c>
      <c r="B52" s="20">
        <v>8.904223818478E12</v>
      </c>
      <c r="C52" s="20" t="s">
        <v>494</v>
      </c>
      <c r="D52" s="15">
        <f>VLOOKUP(B52,'Company X - SKU Master'!$A:$B,2,0)</f>
        <v>350</v>
      </c>
      <c r="E52" s="22">
        <f t="shared" si="1"/>
        <v>0.35</v>
      </c>
    </row>
    <row r="53">
      <c r="A53" s="19" t="s">
        <v>65</v>
      </c>
      <c r="B53" s="20">
        <v>8.904223819284E12</v>
      </c>
      <c r="C53" s="20" t="s">
        <v>494</v>
      </c>
      <c r="D53" s="15">
        <f>VLOOKUP(B53,'Company X - SKU Master'!$A:$B,2,0)</f>
        <v>350</v>
      </c>
      <c r="E53" s="22">
        <f t="shared" si="1"/>
        <v>0.35</v>
      </c>
    </row>
    <row r="54">
      <c r="A54" s="19" t="s">
        <v>71</v>
      </c>
      <c r="B54" s="20">
        <v>8.904223816214E12</v>
      </c>
      <c r="C54" s="20" t="s">
        <v>494</v>
      </c>
      <c r="D54" s="15">
        <f>VLOOKUP(B54,'Company X - SKU Master'!$A:$B,2,0)</f>
        <v>120</v>
      </c>
      <c r="E54" s="22">
        <f t="shared" si="1"/>
        <v>0.12</v>
      </c>
    </row>
    <row r="55">
      <c r="A55" s="19" t="s">
        <v>71</v>
      </c>
      <c r="B55" s="20">
        <v>8.904223818874E12</v>
      </c>
      <c r="C55" s="20" t="s">
        <v>494</v>
      </c>
      <c r="D55" s="15">
        <f>VLOOKUP(B55,'Company X - SKU Master'!$A:$B,2,0)</f>
        <v>100</v>
      </c>
      <c r="E55" s="22">
        <f t="shared" si="1"/>
        <v>0.1</v>
      </c>
    </row>
    <row r="56">
      <c r="A56" s="19" t="s">
        <v>71</v>
      </c>
      <c r="B56" s="20">
        <v>8.904223819512E12</v>
      </c>
      <c r="C56" s="20" t="s">
        <v>494</v>
      </c>
      <c r="D56" s="15">
        <f>VLOOKUP(B56,'Company X - SKU Master'!$A:$B,2,0)</f>
        <v>210</v>
      </c>
      <c r="E56" s="22">
        <f t="shared" si="1"/>
        <v>0.21</v>
      </c>
    </row>
    <row r="57">
      <c r="A57" s="19" t="s">
        <v>71</v>
      </c>
      <c r="B57" s="20">
        <v>8.904223818881E12</v>
      </c>
      <c r="C57" s="20" t="s">
        <v>494</v>
      </c>
      <c r="D57" s="15">
        <f>VLOOKUP(B57,'Company X - SKU Master'!$A:$B,2,0)</f>
        <v>140</v>
      </c>
      <c r="E57" s="22">
        <f t="shared" si="1"/>
        <v>0.14</v>
      </c>
    </row>
    <row r="58">
      <c r="A58" s="19" t="s">
        <v>71</v>
      </c>
      <c r="B58" s="20">
        <v>8.904223819291E12</v>
      </c>
      <c r="C58" s="20" t="s">
        <v>496</v>
      </c>
      <c r="D58" s="15">
        <f>VLOOKUP(B58,'Company X - SKU Master'!$A:$B,2,0)</f>
        <v>112</v>
      </c>
      <c r="E58" s="22">
        <f t="shared" si="1"/>
        <v>0.224</v>
      </c>
    </row>
    <row r="59">
      <c r="A59" s="19" t="s">
        <v>71</v>
      </c>
      <c r="B59" s="20">
        <v>8.904223819031E12</v>
      </c>
      <c r="C59" s="20" t="s">
        <v>496</v>
      </c>
      <c r="D59" s="15">
        <f>VLOOKUP(B59,'Company X - SKU Master'!$A:$B,2,0)</f>
        <v>112</v>
      </c>
      <c r="E59" s="22">
        <f t="shared" si="1"/>
        <v>0.224</v>
      </c>
    </row>
    <row r="60">
      <c r="A60" s="19" t="s">
        <v>71</v>
      </c>
      <c r="B60" s="20">
        <v>8.904223819024E12</v>
      </c>
      <c r="C60" s="20" t="s">
        <v>496</v>
      </c>
      <c r="D60" s="15">
        <f>VLOOKUP(B60,'Company X - SKU Master'!$A:$B,2,0)</f>
        <v>112</v>
      </c>
      <c r="E60" s="22">
        <f t="shared" si="1"/>
        <v>0.224</v>
      </c>
    </row>
    <row r="61">
      <c r="A61" s="19" t="s">
        <v>71</v>
      </c>
      <c r="B61" s="20">
        <v>8.904223818553E12</v>
      </c>
      <c r="C61" s="20" t="s">
        <v>494</v>
      </c>
      <c r="D61" s="15">
        <f>VLOOKUP(B61,'Company X - SKU Master'!$A:$B,2,0)</f>
        <v>115</v>
      </c>
      <c r="E61" s="22">
        <f t="shared" si="1"/>
        <v>0.115</v>
      </c>
    </row>
    <row r="62">
      <c r="A62" s="19" t="s">
        <v>167</v>
      </c>
      <c r="B62" s="20">
        <v>8.904223818706E12</v>
      </c>
      <c r="C62" s="20" t="s">
        <v>494</v>
      </c>
      <c r="D62" s="15">
        <f>VLOOKUP(B62,'Company X - SKU Master'!$A:$B,2,0)</f>
        <v>127</v>
      </c>
      <c r="E62" s="22">
        <f t="shared" si="1"/>
        <v>0.127</v>
      </c>
    </row>
    <row r="63">
      <c r="A63" s="19" t="s">
        <v>167</v>
      </c>
      <c r="B63" s="20">
        <v>8.904223818942E12</v>
      </c>
      <c r="C63" s="20" t="s">
        <v>494</v>
      </c>
      <c r="D63" s="15">
        <f>VLOOKUP(B63,'Company X - SKU Master'!$A:$B,2,0)</f>
        <v>133</v>
      </c>
      <c r="E63" s="22">
        <f t="shared" si="1"/>
        <v>0.133</v>
      </c>
    </row>
    <row r="64">
      <c r="A64" s="19" t="s">
        <v>167</v>
      </c>
      <c r="B64" s="20">
        <v>8.90422381885E12</v>
      </c>
      <c r="C64" s="20" t="s">
        <v>494</v>
      </c>
      <c r="D64" s="15">
        <f>VLOOKUP(B64,'Company X - SKU Master'!$A:$B,2,0)</f>
        <v>240</v>
      </c>
      <c r="E64" s="22">
        <f t="shared" si="1"/>
        <v>0.24</v>
      </c>
    </row>
    <row r="65">
      <c r="A65" s="19" t="s">
        <v>63</v>
      </c>
      <c r="B65" s="20">
        <v>8.904223816214E12</v>
      </c>
      <c r="C65" s="20" t="s">
        <v>496</v>
      </c>
      <c r="D65" s="15">
        <f>VLOOKUP(B65,'Company X - SKU Master'!$A:$B,2,0)</f>
        <v>120</v>
      </c>
      <c r="E65" s="22">
        <f t="shared" si="1"/>
        <v>0.24</v>
      </c>
    </row>
    <row r="66">
      <c r="A66" s="19" t="s">
        <v>63</v>
      </c>
      <c r="B66" s="20">
        <v>8.904223818874E12</v>
      </c>
      <c r="C66" s="20" t="s">
        <v>496</v>
      </c>
      <c r="D66" s="15">
        <f>VLOOKUP(B66,'Company X - SKU Master'!$A:$B,2,0)</f>
        <v>100</v>
      </c>
      <c r="E66" s="22">
        <f t="shared" si="1"/>
        <v>0.2</v>
      </c>
    </row>
    <row r="67">
      <c r="A67" s="19" t="s">
        <v>63</v>
      </c>
      <c r="B67" s="20">
        <v>8.904223818935E12</v>
      </c>
      <c r="C67" s="20" t="s">
        <v>498</v>
      </c>
      <c r="D67" s="15">
        <f>VLOOKUP(B67,'Company X - SKU Master'!$A:$B,2,0)</f>
        <v>120</v>
      </c>
      <c r="E67" s="22">
        <f t="shared" si="1"/>
        <v>0.48</v>
      </c>
    </row>
    <row r="68">
      <c r="A68" s="19" t="s">
        <v>165</v>
      </c>
      <c r="B68" s="20">
        <v>8.904223816665E12</v>
      </c>
      <c r="C68" s="20" t="s">
        <v>496</v>
      </c>
      <c r="D68" s="15">
        <f>VLOOKUP(B68,'Company X - SKU Master'!$A:$B,2,0)</f>
        <v>102</v>
      </c>
      <c r="E68" s="22">
        <f t="shared" si="1"/>
        <v>0.204</v>
      </c>
    </row>
    <row r="69">
      <c r="A69" s="19" t="s">
        <v>165</v>
      </c>
      <c r="B69" s="20">
        <v>8.904223819277E12</v>
      </c>
      <c r="C69" s="20" t="s">
        <v>494</v>
      </c>
      <c r="D69" s="15">
        <f>VLOOKUP(B69,'Company X - SKU Master'!$A:$B,2,0)</f>
        <v>350</v>
      </c>
      <c r="E69" s="22">
        <f t="shared" si="1"/>
        <v>0.35</v>
      </c>
    </row>
    <row r="70">
      <c r="A70" s="19" t="s">
        <v>163</v>
      </c>
      <c r="B70" s="20">
        <v>8.904223816214E12</v>
      </c>
      <c r="C70" s="20" t="s">
        <v>494</v>
      </c>
      <c r="D70" s="15">
        <f>VLOOKUP(B70,'Company X - SKU Master'!$A:$B,2,0)</f>
        <v>120</v>
      </c>
      <c r="E70" s="22">
        <f t="shared" si="1"/>
        <v>0.12</v>
      </c>
    </row>
    <row r="71">
      <c r="A71" s="19" t="s">
        <v>163</v>
      </c>
      <c r="B71" s="20">
        <v>8.904223818874E12</v>
      </c>
      <c r="C71" s="20" t="s">
        <v>494</v>
      </c>
      <c r="D71" s="15">
        <f>VLOOKUP(B71,'Company X - SKU Master'!$A:$B,2,0)</f>
        <v>100</v>
      </c>
      <c r="E71" s="22">
        <f t="shared" si="1"/>
        <v>0.1</v>
      </c>
    </row>
    <row r="72">
      <c r="A72" s="19" t="s">
        <v>161</v>
      </c>
      <c r="B72" s="20">
        <v>8.904223818706E12</v>
      </c>
      <c r="C72" s="20" t="s">
        <v>494</v>
      </c>
      <c r="D72" s="15">
        <f>VLOOKUP(B72,'Company X - SKU Master'!$A:$B,2,0)</f>
        <v>127</v>
      </c>
      <c r="E72" s="22">
        <f t="shared" si="1"/>
        <v>0.127</v>
      </c>
    </row>
    <row r="73">
      <c r="A73" s="19" t="s">
        <v>157</v>
      </c>
      <c r="B73" s="20">
        <v>8.904223816214E12</v>
      </c>
      <c r="C73" s="20" t="s">
        <v>494</v>
      </c>
      <c r="D73" s="15">
        <f>VLOOKUP(B73,'Company X - SKU Master'!$A:$B,2,0)</f>
        <v>120</v>
      </c>
      <c r="E73" s="22">
        <f t="shared" si="1"/>
        <v>0.12</v>
      </c>
    </row>
    <row r="74">
      <c r="A74" s="19" t="s">
        <v>157</v>
      </c>
      <c r="B74" s="20">
        <v>8.904223818874E12</v>
      </c>
      <c r="C74" s="20" t="s">
        <v>494</v>
      </c>
      <c r="D74" s="15">
        <f>VLOOKUP(B74,'Company X - SKU Master'!$A:$B,2,0)</f>
        <v>100</v>
      </c>
      <c r="E74" s="22">
        <f t="shared" si="1"/>
        <v>0.1</v>
      </c>
    </row>
    <row r="75">
      <c r="A75" s="19" t="s">
        <v>157</v>
      </c>
      <c r="B75" s="20">
        <v>8.904223818706E12</v>
      </c>
      <c r="C75" s="20" t="s">
        <v>494</v>
      </c>
      <c r="D75" s="15">
        <f>VLOOKUP(B75,'Company X - SKU Master'!$A:$B,2,0)</f>
        <v>127</v>
      </c>
      <c r="E75" s="22">
        <f t="shared" si="1"/>
        <v>0.127</v>
      </c>
    </row>
    <row r="76">
      <c r="A76" s="19" t="s">
        <v>157</v>
      </c>
      <c r="B76" s="20">
        <v>8.904223818942E12</v>
      </c>
      <c r="C76" s="20" t="s">
        <v>494</v>
      </c>
      <c r="D76" s="15">
        <f>VLOOKUP(B76,'Company X - SKU Master'!$A:$B,2,0)</f>
        <v>133</v>
      </c>
      <c r="E76" s="22">
        <f t="shared" si="1"/>
        <v>0.133</v>
      </c>
    </row>
    <row r="77">
      <c r="A77" s="19" t="s">
        <v>157</v>
      </c>
      <c r="B77" s="20">
        <v>8.90422381885E12</v>
      </c>
      <c r="C77" s="20" t="s">
        <v>494</v>
      </c>
      <c r="D77" s="15">
        <f>VLOOKUP(B77,'Company X - SKU Master'!$A:$B,2,0)</f>
        <v>240</v>
      </c>
      <c r="E77" s="22">
        <f t="shared" si="1"/>
        <v>0.24</v>
      </c>
    </row>
    <row r="78">
      <c r="A78" s="19" t="s">
        <v>253</v>
      </c>
      <c r="B78" s="20">
        <v>8.904223818706E12</v>
      </c>
      <c r="C78" s="20" t="s">
        <v>494</v>
      </c>
      <c r="D78" s="15">
        <f>VLOOKUP(B78,'Company X - SKU Master'!$A:$B,2,0)</f>
        <v>127</v>
      </c>
      <c r="E78" s="22">
        <f t="shared" si="1"/>
        <v>0.127</v>
      </c>
    </row>
    <row r="79">
      <c r="A79" s="19" t="s">
        <v>253</v>
      </c>
      <c r="B79" s="20">
        <v>8.904223818942E12</v>
      </c>
      <c r="C79" s="20" t="s">
        <v>494</v>
      </c>
      <c r="D79" s="15">
        <f>VLOOKUP(B79,'Company X - SKU Master'!$A:$B,2,0)</f>
        <v>133</v>
      </c>
      <c r="E79" s="22">
        <f t="shared" si="1"/>
        <v>0.133</v>
      </c>
    </row>
    <row r="80">
      <c r="A80" s="19" t="s">
        <v>253</v>
      </c>
      <c r="B80" s="20">
        <v>8.90422381885E12</v>
      </c>
      <c r="C80" s="20" t="s">
        <v>494</v>
      </c>
      <c r="D80" s="15">
        <f>VLOOKUP(B80,'Company X - SKU Master'!$A:$B,2,0)</f>
        <v>240</v>
      </c>
      <c r="E80" s="22">
        <f t="shared" si="1"/>
        <v>0.24</v>
      </c>
    </row>
    <row r="81">
      <c r="A81" s="19" t="s">
        <v>155</v>
      </c>
      <c r="B81" s="20">
        <v>8.904223818478E12</v>
      </c>
      <c r="C81" s="20" t="s">
        <v>494</v>
      </c>
      <c r="D81" s="15">
        <f>VLOOKUP(B81,'Company X - SKU Master'!$A:$B,2,0)</f>
        <v>350</v>
      </c>
      <c r="E81" s="22">
        <f t="shared" si="1"/>
        <v>0.35</v>
      </c>
    </row>
    <row r="82">
      <c r="A82" s="19" t="s">
        <v>155</v>
      </c>
      <c r="B82" s="20">
        <v>8.90422381913E12</v>
      </c>
      <c r="C82" s="20" t="s">
        <v>494</v>
      </c>
      <c r="D82" s="15">
        <f>VLOOKUP(B82,'Company X - SKU Master'!$A:$B,2,0)</f>
        <v>350</v>
      </c>
      <c r="E82" s="22">
        <f t="shared" si="1"/>
        <v>0.35</v>
      </c>
    </row>
    <row r="83">
      <c r="A83" s="19" t="s">
        <v>155</v>
      </c>
      <c r="B83" s="20">
        <v>8.904223819277E12</v>
      </c>
      <c r="C83" s="20" t="s">
        <v>494</v>
      </c>
      <c r="D83" s="15">
        <f>VLOOKUP(B83,'Company X - SKU Master'!$A:$B,2,0)</f>
        <v>350</v>
      </c>
      <c r="E83" s="22">
        <f t="shared" si="1"/>
        <v>0.35</v>
      </c>
    </row>
    <row r="84">
      <c r="A84" s="19" t="s">
        <v>155</v>
      </c>
      <c r="B84" s="20">
        <v>8.904223819284E12</v>
      </c>
      <c r="C84" s="20" t="s">
        <v>494</v>
      </c>
      <c r="D84" s="15">
        <f>VLOOKUP(B84,'Company X - SKU Master'!$A:$B,2,0)</f>
        <v>350</v>
      </c>
      <c r="E84" s="22">
        <f t="shared" si="1"/>
        <v>0.35</v>
      </c>
    </row>
    <row r="85">
      <c r="A85" s="19" t="s">
        <v>155</v>
      </c>
      <c r="B85" s="20" t="s">
        <v>501</v>
      </c>
      <c r="C85" s="20" t="s">
        <v>494</v>
      </c>
      <c r="D85" s="15">
        <f>VLOOKUP(B85,'Company X - SKU Master'!$A:$B,2,0)</f>
        <v>500</v>
      </c>
      <c r="E85" s="22">
        <f t="shared" si="1"/>
        <v>0.5</v>
      </c>
    </row>
    <row r="86">
      <c r="A86" s="19" t="s">
        <v>155</v>
      </c>
      <c r="B86" s="20">
        <v>8.904223819291E12</v>
      </c>
      <c r="C86" s="20" t="s">
        <v>496</v>
      </c>
      <c r="D86" s="15">
        <f>VLOOKUP(B86,'Company X - SKU Master'!$A:$B,2,0)</f>
        <v>112</v>
      </c>
      <c r="E86" s="22">
        <f t="shared" si="1"/>
        <v>0.224</v>
      </c>
    </row>
    <row r="87">
      <c r="A87" s="19" t="s">
        <v>155</v>
      </c>
      <c r="B87" s="20">
        <v>8.904223819031E12</v>
      </c>
      <c r="C87" s="20" t="s">
        <v>496</v>
      </c>
      <c r="D87" s="15">
        <f>VLOOKUP(B87,'Company X - SKU Master'!$A:$B,2,0)</f>
        <v>112</v>
      </c>
      <c r="E87" s="22">
        <f t="shared" si="1"/>
        <v>0.224</v>
      </c>
    </row>
    <row r="88">
      <c r="A88" s="19" t="s">
        <v>155</v>
      </c>
      <c r="B88" s="20">
        <v>8.904223819024E12</v>
      </c>
      <c r="C88" s="20" t="s">
        <v>496</v>
      </c>
      <c r="D88" s="15">
        <f>VLOOKUP(B88,'Company X - SKU Master'!$A:$B,2,0)</f>
        <v>112</v>
      </c>
      <c r="E88" s="22">
        <f t="shared" si="1"/>
        <v>0.224</v>
      </c>
    </row>
    <row r="89">
      <c r="A89" s="19" t="s">
        <v>61</v>
      </c>
      <c r="B89" s="20">
        <v>8.90422381898E12</v>
      </c>
      <c r="C89" s="20" t="s">
        <v>494</v>
      </c>
      <c r="D89" s="15">
        <f>VLOOKUP(B89,'Company X - SKU Master'!$A:$B,2,0)</f>
        <v>110</v>
      </c>
      <c r="E89" s="22">
        <f t="shared" si="1"/>
        <v>0.11</v>
      </c>
    </row>
    <row r="90">
      <c r="A90" s="19" t="s">
        <v>61</v>
      </c>
      <c r="B90" s="20">
        <v>8.904223819031E12</v>
      </c>
      <c r="C90" s="20" t="s">
        <v>498</v>
      </c>
      <c r="D90" s="15">
        <f>VLOOKUP(B90,'Company X - SKU Master'!$A:$B,2,0)</f>
        <v>112</v>
      </c>
      <c r="E90" s="22">
        <f t="shared" si="1"/>
        <v>0.448</v>
      </c>
    </row>
    <row r="91">
      <c r="A91" s="19" t="s">
        <v>159</v>
      </c>
      <c r="B91" s="20">
        <v>8.904223819031E12</v>
      </c>
      <c r="C91" s="20" t="s">
        <v>498</v>
      </c>
      <c r="D91" s="15">
        <f>VLOOKUP(B91,'Company X - SKU Master'!$A:$B,2,0)</f>
        <v>112</v>
      </c>
      <c r="E91" s="22">
        <f t="shared" si="1"/>
        <v>0.448</v>
      </c>
    </row>
    <row r="92">
      <c r="A92" s="19" t="s">
        <v>159</v>
      </c>
      <c r="B92" s="20">
        <v>8.904223819017E12</v>
      </c>
      <c r="C92" s="20" t="s">
        <v>494</v>
      </c>
      <c r="D92" s="15">
        <f>VLOOKUP(B92,'Company X - SKU Master'!$A:$B,2,0)</f>
        <v>115</v>
      </c>
      <c r="E92" s="22">
        <f t="shared" si="1"/>
        <v>0.115</v>
      </c>
    </row>
    <row r="93">
      <c r="A93" s="19" t="s">
        <v>251</v>
      </c>
      <c r="B93" s="20">
        <v>8.904223818706E12</v>
      </c>
      <c r="C93" s="20" t="s">
        <v>494</v>
      </c>
      <c r="D93" s="15">
        <f>VLOOKUP(B93,'Company X - SKU Master'!$A:$B,2,0)</f>
        <v>127</v>
      </c>
      <c r="E93" s="22">
        <f t="shared" si="1"/>
        <v>0.127</v>
      </c>
    </row>
    <row r="94">
      <c r="A94" s="19" t="s">
        <v>251</v>
      </c>
      <c r="B94" s="20">
        <v>8.904223818942E12</v>
      </c>
      <c r="C94" s="20" t="s">
        <v>494</v>
      </c>
      <c r="D94" s="15">
        <f>VLOOKUP(B94,'Company X - SKU Master'!$A:$B,2,0)</f>
        <v>133</v>
      </c>
      <c r="E94" s="22">
        <f t="shared" si="1"/>
        <v>0.133</v>
      </c>
    </row>
    <row r="95">
      <c r="A95" s="19" t="s">
        <v>251</v>
      </c>
      <c r="B95" s="20">
        <v>8.90422381885E12</v>
      </c>
      <c r="C95" s="20" t="s">
        <v>494</v>
      </c>
      <c r="D95" s="15">
        <f>VLOOKUP(B95,'Company X - SKU Master'!$A:$B,2,0)</f>
        <v>240</v>
      </c>
      <c r="E95" s="22">
        <f t="shared" si="1"/>
        <v>0.24</v>
      </c>
    </row>
    <row r="96">
      <c r="A96" s="19" t="s">
        <v>153</v>
      </c>
      <c r="B96" s="20">
        <v>8.904223818706E12</v>
      </c>
      <c r="C96" s="20" t="s">
        <v>494</v>
      </c>
      <c r="D96" s="15">
        <f>VLOOKUP(B96,'Company X - SKU Master'!$A:$B,2,0)</f>
        <v>127</v>
      </c>
      <c r="E96" s="22">
        <f t="shared" si="1"/>
        <v>0.127</v>
      </c>
    </row>
    <row r="97">
      <c r="A97" s="19" t="s">
        <v>153</v>
      </c>
      <c r="B97" s="20">
        <v>8.904223818942E12</v>
      </c>
      <c r="C97" s="20" t="s">
        <v>494</v>
      </c>
      <c r="D97" s="15">
        <f>VLOOKUP(B97,'Company X - SKU Master'!$A:$B,2,0)</f>
        <v>133</v>
      </c>
      <c r="E97" s="22">
        <f t="shared" si="1"/>
        <v>0.133</v>
      </c>
    </row>
    <row r="98">
      <c r="A98" s="19" t="s">
        <v>153</v>
      </c>
      <c r="B98" s="20">
        <v>8.90422381885E12</v>
      </c>
      <c r="C98" s="20" t="s">
        <v>494</v>
      </c>
      <c r="D98" s="15">
        <f>VLOOKUP(B98,'Company X - SKU Master'!$A:$B,2,0)</f>
        <v>240</v>
      </c>
      <c r="E98" s="22">
        <f t="shared" si="1"/>
        <v>0.24</v>
      </c>
    </row>
    <row r="99">
      <c r="A99" s="19" t="s">
        <v>189</v>
      </c>
      <c r="B99" s="20">
        <v>8.904223816214E12</v>
      </c>
      <c r="C99" s="20" t="s">
        <v>494</v>
      </c>
      <c r="D99" s="15">
        <f>VLOOKUP(B99,'Company X - SKU Master'!$A:$B,2,0)</f>
        <v>120</v>
      </c>
      <c r="E99" s="22">
        <f t="shared" si="1"/>
        <v>0.12</v>
      </c>
    </row>
    <row r="100">
      <c r="A100" s="19" t="s">
        <v>189</v>
      </c>
      <c r="B100" s="20">
        <v>8.904223818669E12</v>
      </c>
      <c r="C100" s="20" t="s">
        <v>496</v>
      </c>
      <c r="D100" s="15">
        <f>VLOOKUP(B100,'Company X - SKU Master'!$A:$B,2,0)</f>
        <v>240</v>
      </c>
      <c r="E100" s="22">
        <f t="shared" si="1"/>
        <v>0.48</v>
      </c>
    </row>
    <row r="101">
      <c r="A101" s="19" t="s">
        <v>189</v>
      </c>
      <c r="B101" s="20">
        <v>8.904223818683E12</v>
      </c>
      <c r="C101" s="20" t="s">
        <v>494</v>
      </c>
      <c r="D101" s="15">
        <f>VLOOKUP(B101,'Company X - SKU Master'!$A:$B,2,0)</f>
        <v>121</v>
      </c>
      <c r="E101" s="22">
        <f t="shared" si="1"/>
        <v>0.121</v>
      </c>
    </row>
    <row r="102">
      <c r="A102" s="19" t="s">
        <v>259</v>
      </c>
      <c r="B102" s="20">
        <v>8.904223818706E12</v>
      </c>
      <c r="C102" s="20" t="s">
        <v>494</v>
      </c>
      <c r="D102" s="15">
        <f>VLOOKUP(B102,'Company X - SKU Master'!$A:$B,2,0)</f>
        <v>127</v>
      </c>
      <c r="E102" s="22">
        <f t="shared" si="1"/>
        <v>0.127</v>
      </c>
    </row>
    <row r="103">
      <c r="A103" s="19" t="s">
        <v>259</v>
      </c>
      <c r="B103" s="20">
        <v>8.904223818669E12</v>
      </c>
      <c r="C103" s="20" t="s">
        <v>494</v>
      </c>
      <c r="D103" s="15">
        <f>VLOOKUP(B103,'Company X - SKU Master'!$A:$B,2,0)</f>
        <v>240</v>
      </c>
      <c r="E103" s="22">
        <f t="shared" si="1"/>
        <v>0.24</v>
      </c>
    </row>
    <row r="104">
      <c r="A104" s="19" t="s">
        <v>259</v>
      </c>
      <c r="B104" s="20">
        <v>8.904223819499E12</v>
      </c>
      <c r="C104" s="20" t="s">
        <v>494</v>
      </c>
      <c r="D104" s="15">
        <f>VLOOKUP(B104,'Company X - SKU Master'!$A:$B,2,0)</f>
        <v>210</v>
      </c>
      <c r="E104" s="22">
        <f t="shared" si="1"/>
        <v>0.21</v>
      </c>
    </row>
    <row r="105">
      <c r="A105" s="19" t="s">
        <v>259</v>
      </c>
      <c r="B105" s="20">
        <v>8.904223819031E12</v>
      </c>
      <c r="C105" s="20" t="s">
        <v>494</v>
      </c>
      <c r="D105" s="15">
        <f>VLOOKUP(B105,'Company X - SKU Master'!$A:$B,2,0)</f>
        <v>112</v>
      </c>
      <c r="E105" s="22">
        <f t="shared" si="1"/>
        <v>0.112</v>
      </c>
    </row>
    <row r="106">
      <c r="A106" s="19" t="s">
        <v>151</v>
      </c>
      <c r="B106" s="20">
        <v>8.904223818706E12</v>
      </c>
      <c r="C106" s="20" t="s">
        <v>494</v>
      </c>
      <c r="D106" s="15">
        <f>VLOOKUP(B106,'Company X - SKU Master'!$A:$B,2,0)</f>
        <v>127</v>
      </c>
      <c r="E106" s="22">
        <f t="shared" si="1"/>
        <v>0.127</v>
      </c>
    </row>
    <row r="107">
      <c r="A107" s="19" t="s">
        <v>151</v>
      </c>
      <c r="B107" s="20">
        <v>8.90422381885E12</v>
      </c>
      <c r="C107" s="20" t="s">
        <v>494</v>
      </c>
      <c r="D107" s="15">
        <f>VLOOKUP(B107,'Company X - SKU Master'!$A:$B,2,0)</f>
        <v>240</v>
      </c>
      <c r="E107" s="22">
        <f t="shared" si="1"/>
        <v>0.24</v>
      </c>
    </row>
    <row r="108">
      <c r="A108" s="19" t="s">
        <v>151</v>
      </c>
      <c r="B108" s="20">
        <v>8.904223819468E12</v>
      </c>
      <c r="C108" s="20" t="s">
        <v>494</v>
      </c>
      <c r="D108" s="15">
        <f>VLOOKUP(B108,'Company X - SKU Master'!$A:$B,2,0)</f>
        <v>240</v>
      </c>
      <c r="E108" s="22">
        <f t="shared" si="1"/>
        <v>0.24</v>
      </c>
    </row>
    <row r="109">
      <c r="A109" s="19" t="s">
        <v>149</v>
      </c>
      <c r="B109" s="20">
        <v>8.904223815859E12</v>
      </c>
      <c r="C109" s="20" t="s">
        <v>494</v>
      </c>
      <c r="D109" s="15">
        <f>VLOOKUP(B109,'Company X - SKU Master'!$A:$B,2,0)</f>
        <v>165</v>
      </c>
      <c r="E109" s="22">
        <f t="shared" si="1"/>
        <v>0.165</v>
      </c>
    </row>
    <row r="110">
      <c r="A110" s="19" t="s">
        <v>149</v>
      </c>
      <c r="B110" s="20">
        <v>8.904223818751E12</v>
      </c>
      <c r="C110" s="20" t="s">
        <v>494</v>
      </c>
      <c r="D110" s="15">
        <f>VLOOKUP(B110,'Company X - SKU Master'!$A:$B,2,0)</f>
        <v>113</v>
      </c>
      <c r="E110" s="22">
        <f t="shared" si="1"/>
        <v>0.113</v>
      </c>
    </row>
    <row r="111">
      <c r="A111" s="19" t="s">
        <v>149</v>
      </c>
      <c r="B111" s="20">
        <v>8.904223815873E12</v>
      </c>
      <c r="C111" s="20" t="s">
        <v>494</v>
      </c>
      <c r="D111" s="15">
        <f>VLOOKUP(B111,'Company X - SKU Master'!$A:$B,2,0)</f>
        <v>65</v>
      </c>
      <c r="E111" s="22">
        <f t="shared" si="1"/>
        <v>0.065</v>
      </c>
    </row>
    <row r="112">
      <c r="A112" s="19" t="s">
        <v>149</v>
      </c>
      <c r="B112" s="20">
        <v>8.904223815859E12</v>
      </c>
      <c r="C112" s="20" t="s">
        <v>494</v>
      </c>
      <c r="D112" s="15">
        <f>VLOOKUP(B112,'Company X - SKU Master'!$A:$B,2,0)</f>
        <v>165</v>
      </c>
      <c r="E112" s="22">
        <f t="shared" si="1"/>
        <v>0.165</v>
      </c>
    </row>
    <row r="113">
      <c r="A113" s="19" t="s">
        <v>249</v>
      </c>
      <c r="B113" s="20">
        <v>8.904223819352E12</v>
      </c>
      <c r="C113" s="20" t="s">
        <v>494</v>
      </c>
      <c r="D113" s="15">
        <f>VLOOKUP(B113,'Company X - SKU Master'!$A:$B,2,0)</f>
        <v>165</v>
      </c>
      <c r="E113" s="22">
        <f t="shared" si="1"/>
        <v>0.165</v>
      </c>
    </row>
    <row r="114">
      <c r="A114" s="19" t="s">
        <v>249</v>
      </c>
      <c r="B114" s="20">
        <v>8.904223819543E12</v>
      </c>
      <c r="C114" s="20" t="s">
        <v>494</v>
      </c>
      <c r="D114" s="15">
        <f>VLOOKUP(B114,'Company X - SKU Master'!$A:$B,2,0)</f>
        <v>300</v>
      </c>
      <c r="E114" s="22">
        <f t="shared" si="1"/>
        <v>0.3</v>
      </c>
    </row>
    <row r="115">
      <c r="A115" s="19" t="s">
        <v>249</v>
      </c>
      <c r="B115" s="20">
        <v>8.904223819147E12</v>
      </c>
      <c r="C115" s="20" t="s">
        <v>494</v>
      </c>
      <c r="D115" s="15">
        <f>VLOOKUP(B115,'Company X - SKU Master'!$A:$B,2,0)</f>
        <v>240</v>
      </c>
      <c r="E115" s="22">
        <f t="shared" si="1"/>
        <v>0.24</v>
      </c>
    </row>
    <row r="116">
      <c r="A116" s="19" t="s">
        <v>249</v>
      </c>
      <c r="B116" s="20">
        <v>8.904223819468E12</v>
      </c>
      <c r="C116" s="20" t="s">
        <v>494</v>
      </c>
      <c r="D116" s="15">
        <f>VLOOKUP(B116,'Company X - SKU Master'!$A:$B,2,0)</f>
        <v>240</v>
      </c>
      <c r="E116" s="22">
        <f t="shared" si="1"/>
        <v>0.24</v>
      </c>
    </row>
    <row r="117">
      <c r="A117" s="19" t="s">
        <v>261</v>
      </c>
      <c r="B117" s="20">
        <v>8.904223816214E12</v>
      </c>
      <c r="C117" s="20" t="s">
        <v>494</v>
      </c>
      <c r="D117" s="15">
        <f>VLOOKUP(B117,'Company X - SKU Master'!$A:$B,2,0)</f>
        <v>120</v>
      </c>
      <c r="E117" s="22">
        <f t="shared" si="1"/>
        <v>0.12</v>
      </c>
    </row>
    <row r="118">
      <c r="A118" s="19" t="s">
        <v>261</v>
      </c>
      <c r="B118" s="20">
        <v>8.904223819499E12</v>
      </c>
      <c r="C118" s="20" t="s">
        <v>494</v>
      </c>
      <c r="D118" s="15">
        <f>VLOOKUP(B118,'Company X - SKU Master'!$A:$B,2,0)</f>
        <v>210</v>
      </c>
      <c r="E118" s="22">
        <f t="shared" si="1"/>
        <v>0.21</v>
      </c>
    </row>
    <row r="119">
      <c r="A119" s="19" t="s">
        <v>261</v>
      </c>
      <c r="B119" s="20">
        <v>8.904223819505E12</v>
      </c>
      <c r="C119" s="20" t="s">
        <v>494</v>
      </c>
      <c r="D119" s="15">
        <f>VLOOKUP(B119,'Company X - SKU Master'!$A:$B,2,0)</f>
        <v>210</v>
      </c>
      <c r="E119" s="22">
        <f t="shared" si="1"/>
        <v>0.21</v>
      </c>
    </row>
    <row r="120">
      <c r="A120" s="19" t="s">
        <v>261</v>
      </c>
      <c r="B120" s="20">
        <v>8.904223819512E12</v>
      </c>
      <c r="C120" s="20" t="s">
        <v>494</v>
      </c>
      <c r="D120" s="15">
        <f>VLOOKUP(B120,'Company X - SKU Master'!$A:$B,2,0)</f>
        <v>210</v>
      </c>
      <c r="E120" s="22">
        <f t="shared" si="1"/>
        <v>0.21</v>
      </c>
    </row>
    <row r="121">
      <c r="A121" s="19" t="s">
        <v>147</v>
      </c>
      <c r="B121" s="20">
        <v>8.904223819468E12</v>
      </c>
      <c r="C121" s="20" t="s">
        <v>494</v>
      </c>
      <c r="D121" s="15">
        <f>VLOOKUP(B121,'Company X - SKU Master'!$A:$B,2,0)</f>
        <v>240</v>
      </c>
      <c r="E121" s="22">
        <f t="shared" si="1"/>
        <v>0.24</v>
      </c>
    </row>
    <row r="122">
      <c r="A122" s="19" t="s">
        <v>147</v>
      </c>
      <c r="B122" s="20">
        <v>8.904223819345E12</v>
      </c>
      <c r="C122" s="20" t="s">
        <v>494</v>
      </c>
      <c r="D122" s="15">
        <f>VLOOKUP(B122,'Company X - SKU Master'!$A:$B,2,0)</f>
        <v>165</v>
      </c>
      <c r="E122" s="22">
        <f t="shared" si="1"/>
        <v>0.165</v>
      </c>
    </row>
    <row r="123">
      <c r="A123" s="19" t="s">
        <v>147</v>
      </c>
      <c r="B123" s="20">
        <v>8.904223818874E12</v>
      </c>
      <c r="C123" s="20" t="s">
        <v>494</v>
      </c>
      <c r="D123" s="15">
        <f>VLOOKUP(B123,'Company X - SKU Master'!$A:$B,2,0)</f>
        <v>100</v>
      </c>
      <c r="E123" s="22">
        <f t="shared" si="1"/>
        <v>0.1</v>
      </c>
    </row>
    <row r="124">
      <c r="A124" s="19" t="s">
        <v>77</v>
      </c>
      <c r="B124" s="20">
        <v>8.904223816214E12</v>
      </c>
      <c r="C124" s="20" t="s">
        <v>494</v>
      </c>
      <c r="D124" s="15">
        <f>VLOOKUP(B124,'Company X - SKU Master'!$A:$B,2,0)</f>
        <v>120</v>
      </c>
      <c r="E124" s="22">
        <f t="shared" si="1"/>
        <v>0.12</v>
      </c>
    </row>
    <row r="125">
      <c r="A125" s="19" t="s">
        <v>77</v>
      </c>
      <c r="B125" s="20">
        <v>8.904223818874E12</v>
      </c>
      <c r="C125" s="20" t="s">
        <v>494</v>
      </c>
      <c r="D125" s="15">
        <f>VLOOKUP(B125,'Company X - SKU Master'!$A:$B,2,0)</f>
        <v>100</v>
      </c>
      <c r="E125" s="22">
        <f t="shared" si="1"/>
        <v>0.1</v>
      </c>
    </row>
    <row r="126">
      <c r="A126" s="19" t="s">
        <v>77</v>
      </c>
      <c r="B126" s="20">
        <v>8.904223818881E12</v>
      </c>
      <c r="C126" s="20" t="s">
        <v>494</v>
      </c>
      <c r="D126" s="15">
        <f>VLOOKUP(B126,'Company X - SKU Master'!$A:$B,2,0)</f>
        <v>140</v>
      </c>
      <c r="E126" s="22">
        <f t="shared" si="1"/>
        <v>0.14</v>
      </c>
    </row>
    <row r="127">
      <c r="A127" s="19" t="s">
        <v>77</v>
      </c>
      <c r="B127" s="20">
        <v>8.904223819291E12</v>
      </c>
      <c r="C127" s="20" t="s">
        <v>496</v>
      </c>
      <c r="D127" s="15">
        <f>VLOOKUP(B127,'Company X - SKU Master'!$A:$B,2,0)</f>
        <v>112</v>
      </c>
      <c r="E127" s="22">
        <f t="shared" si="1"/>
        <v>0.224</v>
      </c>
    </row>
    <row r="128">
      <c r="A128" s="19" t="s">
        <v>77</v>
      </c>
      <c r="B128" s="20">
        <v>8.904223819031E12</v>
      </c>
      <c r="C128" s="20" t="s">
        <v>496</v>
      </c>
      <c r="D128" s="15">
        <f>VLOOKUP(B128,'Company X - SKU Master'!$A:$B,2,0)</f>
        <v>112</v>
      </c>
      <c r="E128" s="22">
        <f t="shared" si="1"/>
        <v>0.224</v>
      </c>
    </row>
    <row r="129">
      <c r="A129" s="19" t="s">
        <v>77</v>
      </c>
      <c r="B129" s="20">
        <v>8.904223819024E12</v>
      </c>
      <c r="C129" s="20" t="s">
        <v>496</v>
      </c>
      <c r="D129" s="15">
        <f>VLOOKUP(B129,'Company X - SKU Master'!$A:$B,2,0)</f>
        <v>112</v>
      </c>
      <c r="E129" s="22">
        <f t="shared" si="1"/>
        <v>0.224</v>
      </c>
    </row>
    <row r="130">
      <c r="A130" s="19" t="s">
        <v>145</v>
      </c>
      <c r="B130" s="20">
        <v>8.904223818706E12</v>
      </c>
      <c r="C130" s="20" t="s">
        <v>494</v>
      </c>
      <c r="D130" s="15">
        <f>VLOOKUP(B130,'Company X - SKU Master'!$A:$B,2,0)</f>
        <v>127</v>
      </c>
      <c r="E130" s="22">
        <f t="shared" si="1"/>
        <v>0.127</v>
      </c>
    </row>
    <row r="131">
      <c r="A131" s="19" t="s">
        <v>145</v>
      </c>
      <c r="B131" s="20">
        <v>8.90422381885E12</v>
      </c>
      <c r="C131" s="20" t="s">
        <v>494</v>
      </c>
      <c r="D131" s="15">
        <f>VLOOKUP(B131,'Company X - SKU Master'!$A:$B,2,0)</f>
        <v>240</v>
      </c>
      <c r="E131" s="22">
        <f t="shared" si="1"/>
        <v>0.24</v>
      </c>
    </row>
    <row r="132">
      <c r="A132" s="19" t="s">
        <v>145</v>
      </c>
      <c r="B132" s="20">
        <v>8.904223819468E12</v>
      </c>
      <c r="C132" s="20" t="s">
        <v>494</v>
      </c>
      <c r="D132" s="15">
        <f>VLOOKUP(B132,'Company X - SKU Master'!$A:$B,2,0)</f>
        <v>240</v>
      </c>
      <c r="E132" s="22">
        <f t="shared" si="1"/>
        <v>0.24</v>
      </c>
    </row>
    <row r="133">
      <c r="A133" s="19" t="s">
        <v>247</v>
      </c>
      <c r="B133" s="20">
        <v>8.904223818706E12</v>
      </c>
      <c r="C133" s="20" t="s">
        <v>494</v>
      </c>
      <c r="D133" s="15">
        <f>VLOOKUP(B133,'Company X - SKU Master'!$A:$B,2,0)</f>
        <v>127</v>
      </c>
      <c r="E133" s="22">
        <f t="shared" si="1"/>
        <v>0.127</v>
      </c>
    </row>
    <row r="134">
      <c r="A134" s="19" t="s">
        <v>247</v>
      </c>
      <c r="B134" s="20">
        <v>8.904223818942E12</v>
      </c>
      <c r="C134" s="20" t="s">
        <v>494</v>
      </c>
      <c r="D134" s="15">
        <f>VLOOKUP(B134,'Company X - SKU Master'!$A:$B,2,0)</f>
        <v>133</v>
      </c>
      <c r="E134" s="22">
        <f t="shared" si="1"/>
        <v>0.133</v>
      </c>
    </row>
    <row r="135">
      <c r="A135" s="19" t="s">
        <v>247</v>
      </c>
      <c r="B135" s="20">
        <v>8.90422381885E12</v>
      </c>
      <c r="C135" s="20" t="s">
        <v>494</v>
      </c>
      <c r="D135" s="15">
        <f>VLOOKUP(B135,'Company X - SKU Master'!$A:$B,2,0)</f>
        <v>240</v>
      </c>
      <c r="E135" s="22">
        <f t="shared" si="1"/>
        <v>0.24</v>
      </c>
    </row>
    <row r="136">
      <c r="A136" s="19" t="s">
        <v>245</v>
      </c>
      <c r="B136" s="20">
        <v>8.904223818706E12</v>
      </c>
      <c r="C136" s="20" t="s">
        <v>494</v>
      </c>
      <c r="D136" s="15">
        <f>VLOOKUP(B136,'Company X - SKU Master'!$A:$B,2,0)</f>
        <v>127</v>
      </c>
      <c r="E136" s="22">
        <f t="shared" si="1"/>
        <v>0.127</v>
      </c>
    </row>
    <row r="137">
      <c r="A137" s="19" t="s">
        <v>245</v>
      </c>
      <c r="B137" s="20">
        <v>8.904223818683E12</v>
      </c>
      <c r="C137" s="20" t="s">
        <v>494</v>
      </c>
      <c r="D137" s="15">
        <f>VLOOKUP(B137,'Company X - SKU Master'!$A:$B,2,0)</f>
        <v>121</v>
      </c>
      <c r="E137" s="22">
        <f t="shared" si="1"/>
        <v>0.121</v>
      </c>
    </row>
    <row r="138">
      <c r="A138" s="19" t="s">
        <v>245</v>
      </c>
      <c r="B138" s="20">
        <v>8.90422381885E12</v>
      </c>
      <c r="C138" s="20" t="s">
        <v>494</v>
      </c>
      <c r="D138" s="15">
        <f>VLOOKUP(B138,'Company X - SKU Master'!$A:$B,2,0)</f>
        <v>240</v>
      </c>
      <c r="E138" s="22">
        <f t="shared" si="1"/>
        <v>0.24</v>
      </c>
    </row>
    <row r="139">
      <c r="A139" s="19" t="s">
        <v>243</v>
      </c>
      <c r="B139" s="20">
        <v>8.904223818706E12</v>
      </c>
      <c r="C139" s="20" t="s">
        <v>494</v>
      </c>
      <c r="D139" s="15">
        <f>VLOOKUP(B139,'Company X - SKU Master'!$A:$B,2,0)</f>
        <v>127</v>
      </c>
      <c r="E139" s="22">
        <f t="shared" si="1"/>
        <v>0.127</v>
      </c>
    </row>
    <row r="140">
      <c r="A140" s="19" t="s">
        <v>243</v>
      </c>
      <c r="B140" s="20">
        <v>8.90422381885E12</v>
      </c>
      <c r="C140" s="20" t="s">
        <v>494</v>
      </c>
      <c r="D140" s="15">
        <f>VLOOKUP(B140,'Company X - SKU Master'!$A:$B,2,0)</f>
        <v>240</v>
      </c>
      <c r="E140" s="22">
        <f t="shared" si="1"/>
        <v>0.24</v>
      </c>
    </row>
    <row r="141">
      <c r="A141" s="19" t="s">
        <v>243</v>
      </c>
      <c r="B141" s="20">
        <v>8.904223819468E12</v>
      </c>
      <c r="C141" s="20" t="s">
        <v>494</v>
      </c>
      <c r="D141" s="15">
        <f>VLOOKUP(B141,'Company X - SKU Master'!$A:$B,2,0)</f>
        <v>240</v>
      </c>
      <c r="E141" s="22">
        <f t="shared" si="1"/>
        <v>0.24</v>
      </c>
    </row>
    <row r="142">
      <c r="A142" s="19" t="s">
        <v>241</v>
      </c>
      <c r="B142" s="20">
        <v>8.904223819468E12</v>
      </c>
      <c r="C142" s="20" t="s">
        <v>494</v>
      </c>
      <c r="D142" s="15">
        <f>VLOOKUP(B142,'Company X - SKU Master'!$A:$B,2,0)</f>
        <v>240</v>
      </c>
      <c r="E142" s="22">
        <f t="shared" si="1"/>
        <v>0.24</v>
      </c>
    </row>
    <row r="143">
      <c r="A143" s="19" t="s">
        <v>241</v>
      </c>
      <c r="B143" s="20">
        <v>8.904223818454E12</v>
      </c>
      <c r="C143" s="20" t="s">
        <v>494</v>
      </c>
      <c r="D143" s="15">
        <f>VLOOKUP(B143,'Company X - SKU Master'!$A:$B,2,0)</f>
        <v>232</v>
      </c>
      <c r="E143" s="22">
        <f t="shared" si="1"/>
        <v>0.232</v>
      </c>
    </row>
    <row r="144">
      <c r="A144" s="19" t="s">
        <v>241</v>
      </c>
      <c r="B144" s="20">
        <v>8.904223818669E12</v>
      </c>
      <c r="C144" s="20" t="s">
        <v>494</v>
      </c>
      <c r="D144" s="15">
        <f>VLOOKUP(B144,'Company X - SKU Master'!$A:$B,2,0)</f>
        <v>240</v>
      </c>
      <c r="E144" s="22">
        <f t="shared" si="1"/>
        <v>0.24</v>
      </c>
    </row>
    <row r="145">
      <c r="A145" s="19" t="s">
        <v>241</v>
      </c>
      <c r="B145" s="20">
        <v>8.904223818638E12</v>
      </c>
      <c r="C145" s="20" t="s">
        <v>496</v>
      </c>
      <c r="D145" s="15">
        <f>VLOOKUP(B145,'Company X - SKU Master'!$A:$B,2,0)</f>
        <v>137</v>
      </c>
      <c r="E145" s="22">
        <f t="shared" si="1"/>
        <v>0.274</v>
      </c>
    </row>
    <row r="146">
      <c r="A146" s="19" t="s">
        <v>239</v>
      </c>
      <c r="B146" s="20">
        <v>8.904223818706E12</v>
      </c>
      <c r="C146" s="20" t="s">
        <v>494</v>
      </c>
      <c r="D146" s="15">
        <f>VLOOKUP(B146,'Company X - SKU Master'!$A:$B,2,0)</f>
        <v>127</v>
      </c>
      <c r="E146" s="22">
        <f t="shared" si="1"/>
        <v>0.127</v>
      </c>
    </row>
    <row r="147">
      <c r="A147" s="19" t="s">
        <v>239</v>
      </c>
      <c r="B147" s="20">
        <v>8.904223818942E12</v>
      </c>
      <c r="C147" s="20" t="s">
        <v>494</v>
      </c>
      <c r="D147" s="15">
        <f>VLOOKUP(B147,'Company X - SKU Master'!$A:$B,2,0)</f>
        <v>133</v>
      </c>
      <c r="E147" s="22">
        <f t="shared" si="1"/>
        <v>0.133</v>
      </c>
    </row>
    <row r="148">
      <c r="A148" s="19" t="s">
        <v>239</v>
      </c>
      <c r="B148" s="20">
        <v>8.90422381885E12</v>
      </c>
      <c r="C148" s="20" t="s">
        <v>494</v>
      </c>
      <c r="D148" s="15">
        <f>VLOOKUP(B148,'Company X - SKU Master'!$A:$B,2,0)</f>
        <v>240</v>
      </c>
      <c r="E148" s="22">
        <f t="shared" si="1"/>
        <v>0.24</v>
      </c>
    </row>
    <row r="149">
      <c r="A149" s="19" t="s">
        <v>237</v>
      </c>
      <c r="B149" s="20">
        <v>8.904223818706E12</v>
      </c>
      <c r="C149" s="20" t="s">
        <v>494</v>
      </c>
      <c r="D149" s="15">
        <f>VLOOKUP(B149,'Company X - SKU Master'!$A:$B,2,0)</f>
        <v>127</v>
      </c>
      <c r="E149" s="22">
        <f t="shared" si="1"/>
        <v>0.127</v>
      </c>
    </row>
    <row r="150">
      <c r="A150" s="19" t="s">
        <v>237</v>
      </c>
      <c r="B150" s="20">
        <v>8.904223818942E12</v>
      </c>
      <c r="C150" s="20" t="s">
        <v>494</v>
      </c>
      <c r="D150" s="15">
        <f>VLOOKUP(B150,'Company X - SKU Master'!$A:$B,2,0)</f>
        <v>133</v>
      </c>
      <c r="E150" s="22">
        <f t="shared" si="1"/>
        <v>0.133</v>
      </c>
    </row>
    <row r="151">
      <c r="A151" s="19" t="s">
        <v>237</v>
      </c>
      <c r="B151" s="20">
        <v>8.90422381885E12</v>
      </c>
      <c r="C151" s="20" t="s">
        <v>494</v>
      </c>
      <c r="D151" s="15">
        <f>VLOOKUP(B151,'Company X - SKU Master'!$A:$B,2,0)</f>
        <v>240</v>
      </c>
      <c r="E151" s="22">
        <f t="shared" si="1"/>
        <v>0.24</v>
      </c>
    </row>
    <row r="152">
      <c r="A152" s="19" t="s">
        <v>143</v>
      </c>
      <c r="B152" s="20">
        <v>8.90422381885E12</v>
      </c>
      <c r="C152" s="20" t="s">
        <v>494</v>
      </c>
      <c r="D152" s="15">
        <f>VLOOKUP(B152,'Company X - SKU Master'!$A:$B,2,0)</f>
        <v>240</v>
      </c>
      <c r="E152" s="22">
        <f t="shared" si="1"/>
        <v>0.24</v>
      </c>
    </row>
    <row r="153">
      <c r="A153" s="19" t="s">
        <v>143</v>
      </c>
      <c r="B153" s="20">
        <v>8.904223818683E12</v>
      </c>
      <c r="C153" s="20" t="s">
        <v>494</v>
      </c>
      <c r="D153" s="15">
        <f>VLOOKUP(B153,'Company X - SKU Master'!$A:$B,2,0)</f>
        <v>121</v>
      </c>
      <c r="E153" s="22">
        <f t="shared" si="1"/>
        <v>0.121</v>
      </c>
    </row>
    <row r="154">
      <c r="A154" s="19" t="s">
        <v>143</v>
      </c>
      <c r="B154" s="20">
        <v>8.904223819468E12</v>
      </c>
      <c r="C154" s="20" t="s">
        <v>494</v>
      </c>
      <c r="D154" s="15">
        <f>VLOOKUP(B154,'Company X - SKU Master'!$A:$B,2,0)</f>
        <v>240</v>
      </c>
      <c r="E154" s="22">
        <f t="shared" si="1"/>
        <v>0.24</v>
      </c>
    </row>
    <row r="155">
      <c r="A155" s="19" t="s">
        <v>235</v>
      </c>
      <c r="B155" s="20">
        <v>8.90422381885E12</v>
      </c>
      <c r="C155" s="20" t="s">
        <v>494</v>
      </c>
      <c r="D155" s="15">
        <f>VLOOKUP(B155,'Company X - SKU Master'!$A:$B,2,0)</f>
        <v>240</v>
      </c>
      <c r="E155" s="22">
        <f t="shared" si="1"/>
        <v>0.24</v>
      </c>
    </row>
    <row r="156">
      <c r="A156" s="19" t="s">
        <v>235</v>
      </c>
      <c r="B156" s="20">
        <v>8.904223818683E12</v>
      </c>
      <c r="C156" s="20" t="s">
        <v>494</v>
      </c>
      <c r="D156" s="15">
        <f>VLOOKUP(B156,'Company X - SKU Master'!$A:$B,2,0)</f>
        <v>121</v>
      </c>
      <c r="E156" s="22">
        <f t="shared" si="1"/>
        <v>0.121</v>
      </c>
    </row>
    <row r="157">
      <c r="A157" s="19" t="s">
        <v>79</v>
      </c>
      <c r="B157" s="20">
        <v>8.904223819499E12</v>
      </c>
      <c r="C157" s="20" t="s">
        <v>494</v>
      </c>
      <c r="D157" s="15">
        <f>VLOOKUP(B157,'Company X - SKU Master'!$A:$B,2,0)</f>
        <v>210</v>
      </c>
      <c r="E157" s="22">
        <f t="shared" si="1"/>
        <v>0.21</v>
      </c>
    </row>
    <row r="158">
      <c r="A158" s="19" t="s">
        <v>79</v>
      </c>
      <c r="B158" s="20">
        <v>8.904223819505E12</v>
      </c>
      <c r="C158" s="20" t="s">
        <v>494</v>
      </c>
      <c r="D158" s="15">
        <f>VLOOKUP(B158,'Company X - SKU Master'!$A:$B,2,0)</f>
        <v>210</v>
      </c>
      <c r="E158" s="22">
        <f t="shared" si="1"/>
        <v>0.21</v>
      </c>
    </row>
    <row r="159">
      <c r="A159" s="19" t="s">
        <v>79</v>
      </c>
      <c r="B159" s="20">
        <v>8.904223819512E12</v>
      </c>
      <c r="C159" s="20" t="s">
        <v>494</v>
      </c>
      <c r="D159" s="15">
        <f>VLOOKUP(B159,'Company X - SKU Master'!$A:$B,2,0)</f>
        <v>210</v>
      </c>
      <c r="E159" s="22">
        <f t="shared" si="1"/>
        <v>0.21</v>
      </c>
    </row>
    <row r="160">
      <c r="A160" s="19" t="s">
        <v>131</v>
      </c>
      <c r="B160" s="20">
        <v>8.904223819277E12</v>
      </c>
      <c r="C160" s="20" t="s">
        <v>494</v>
      </c>
      <c r="D160" s="15">
        <f>VLOOKUP(B160,'Company X - SKU Master'!$A:$B,2,0)</f>
        <v>350</v>
      </c>
      <c r="E160" s="22">
        <f t="shared" si="1"/>
        <v>0.35</v>
      </c>
    </row>
    <row r="161">
      <c r="A161" s="19" t="s">
        <v>131</v>
      </c>
      <c r="B161" s="20">
        <v>8.904223818478E12</v>
      </c>
      <c r="C161" s="20" t="s">
        <v>494</v>
      </c>
      <c r="D161" s="15">
        <f>VLOOKUP(B161,'Company X - SKU Master'!$A:$B,2,0)</f>
        <v>350</v>
      </c>
      <c r="E161" s="22">
        <f t="shared" si="1"/>
        <v>0.35</v>
      </c>
    </row>
    <row r="162">
      <c r="A162" s="19" t="s">
        <v>131</v>
      </c>
      <c r="B162" s="20">
        <v>8.904223819284E12</v>
      </c>
      <c r="C162" s="20" t="s">
        <v>494</v>
      </c>
      <c r="D162" s="15">
        <f>VLOOKUP(B162,'Company X - SKU Master'!$A:$B,2,0)</f>
        <v>350</v>
      </c>
      <c r="E162" s="22">
        <f t="shared" si="1"/>
        <v>0.35</v>
      </c>
    </row>
    <row r="163">
      <c r="A163" s="19" t="s">
        <v>131</v>
      </c>
      <c r="B163" s="20">
        <v>8.90422381913E12</v>
      </c>
      <c r="C163" s="20" t="s">
        <v>494</v>
      </c>
      <c r="D163" s="15">
        <f>VLOOKUP(B163,'Company X - SKU Master'!$A:$B,2,0)</f>
        <v>350</v>
      </c>
      <c r="E163" s="22">
        <f t="shared" si="1"/>
        <v>0.35</v>
      </c>
    </row>
    <row r="164">
      <c r="A164" s="19" t="s">
        <v>131</v>
      </c>
      <c r="B164" s="20">
        <v>8.904223819031E12</v>
      </c>
      <c r="C164" s="20" t="s">
        <v>496</v>
      </c>
      <c r="D164" s="15">
        <f>VLOOKUP(B164,'Company X - SKU Master'!$A:$B,2,0)</f>
        <v>112</v>
      </c>
      <c r="E164" s="22">
        <f t="shared" si="1"/>
        <v>0.224</v>
      </c>
    </row>
    <row r="165">
      <c r="A165" s="19" t="s">
        <v>131</v>
      </c>
      <c r="B165" s="20">
        <v>8.904223819024E12</v>
      </c>
      <c r="C165" s="20" t="s">
        <v>496</v>
      </c>
      <c r="D165" s="15">
        <f>VLOOKUP(B165,'Company X - SKU Master'!$A:$B,2,0)</f>
        <v>112</v>
      </c>
      <c r="E165" s="22">
        <f t="shared" si="1"/>
        <v>0.224</v>
      </c>
    </row>
    <row r="166">
      <c r="A166" s="19" t="s">
        <v>131</v>
      </c>
      <c r="B166" s="20">
        <v>8.904223816214E12</v>
      </c>
      <c r="C166" s="20" t="s">
        <v>494</v>
      </c>
      <c r="D166" s="15">
        <f>VLOOKUP(B166,'Company X - SKU Master'!$A:$B,2,0)</f>
        <v>120</v>
      </c>
      <c r="E166" s="22">
        <f t="shared" si="1"/>
        <v>0.12</v>
      </c>
    </row>
    <row r="167">
      <c r="A167" s="19" t="s">
        <v>131</v>
      </c>
      <c r="B167" s="20">
        <v>8.904223818874E12</v>
      </c>
      <c r="C167" s="20" t="s">
        <v>494</v>
      </c>
      <c r="D167" s="15">
        <f>VLOOKUP(B167,'Company X - SKU Master'!$A:$B,2,0)</f>
        <v>100</v>
      </c>
      <c r="E167" s="22">
        <f t="shared" si="1"/>
        <v>0.1</v>
      </c>
    </row>
    <row r="168">
      <c r="A168" s="19" t="s">
        <v>131</v>
      </c>
      <c r="B168" s="20">
        <v>8.904223818881E12</v>
      </c>
      <c r="C168" s="20" t="s">
        <v>494</v>
      </c>
      <c r="D168" s="15">
        <f>VLOOKUP(B168,'Company X - SKU Master'!$A:$B,2,0)</f>
        <v>140</v>
      </c>
      <c r="E168" s="22">
        <f t="shared" si="1"/>
        <v>0.14</v>
      </c>
    </row>
    <row r="169">
      <c r="A169" s="19" t="s">
        <v>131</v>
      </c>
      <c r="B169" s="20">
        <v>8.904223818898E12</v>
      </c>
      <c r="C169" s="20" t="s">
        <v>494</v>
      </c>
      <c r="D169" s="15">
        <f>VLOOKUP(B169,'Company X - SKU Master'!$A:$B,2,0)</f>
        <v>140</v>
      </c>
      <c r="E169" s="22">
        <f t="shared" si="1"/>
        <v>0.14</v>
      </c>
    </row>
    <row r="170">
      <c r="A170" s="19" t="s">
        <v>131</v>
      </c>
      <c r="B170" s="20">
        <v>8.904223818706E12</v>
      </c>
      <c r="C170" s="20" t="s">
        <v>494</v>
      </c>
      <c r="D170" s="15">
        <f>VLOOKUP(B170,'Company X - SKU Master'!$A:$B,2,0)</f>
        <v>127</v>
      </c>
      <c r="E170" s="22">
        <f t="shared" si="1"/>
        <v>0.127</v>
      </c>
    </row>
    <row r="171">
      <c r="A171" s="19" t="s">
        <v>131</v>
      </c>
      <c r="B171" s="20">
        <v>8.904223818942E12</v>
      </c>
      <c r="C171" s="20" t="s">
        <v>494</v>
      </c>
      <c r="D171" s="15">
        <f>VLOOKUP(B171,'Company X - SKU Master'!$A:$B,2,0)</f>
        <v>133</v>
      </c>
      <c r="E171" s="22">
        <f t="shared" si="1"/>
        <v>0.133</v>
      </c>
    </row>
    <row r="172">
      <c r="A172" s="19" t="s">
        <v>131</v>
      </c>
      <c r="B172" s="20">
        <v>8.90422381885E12</v>
      </c>
      <c r="C172" s="20" t="s">
        <v>494</v>
      </c>
      <c r="D172" s="15">
        <f>VLOOKUP(B172,'Company X - SKU Master'!$A:$B,2,0)</f>
        <v>240</v>
      </c>
      <c r="E172" s="22">
        <f t="shared" si="1"/>
        <v>0.24</v>
      </c>
    </row>
    <row r="173">
      <c r="A173" s="19" t="s">
        <v>131</v>
      </c>
      <c r="B173" s="20">
        <v>8.904223818454E12</v>
      </c>
      <c r="C173" s="20" t="s">
        <v>494</v>
      </c>
      <c r="D173" s="15">
        <f>VLOOKUP(B173,'Company X - SKU Master'!$A:$B,2,0)</f>
        <v>232</v>
      </c>
      <c r="E173" s="22">
        <f t="shared" si="1"/>
        <v>0.232</v>
      </c>
    </row>
    <row r="174">
      <c r="A174" s="19" t="s">
        <v>129</v>
      </c>
      <c r="B174" s="20">
        <v>8.904223819284E12</v>
      </c>
      <c r="C174" s="20" t="s">
        <v>494</v>
      </c>
      <c r="D174" s="15">
        <f>VLOOKUP(B174,'Company X - SKU Master'!$A:$B,2,0)</f>
        <v>350</v>
      </c>
      <c r="E174" s="22">
        <f t="shared" si="1"/>
        <v>0.35</v>
      </c>
    </row>
    <row r="175">
      <c r="A175" s="19" t="s">
        <v>129</v>
      </c>
      <c r="B175" s="20">
        <v>8.904223819352E12</v>
      </c>
      <c r="C175" s="20" t="s">
        <v>494</v>
      </c>
      <c r="D175" s="15">
        <f>VLOOKUP(B175,'Company X - SKU Master'!$A:$B,2,0)</f>
        <v>165</v>
      </c>
      <c r="E175" s="22">
        <f t="shared" si="1"/>
        <v>0.165</v>
      </c>
    </row>
    <row r="176">
      <c r="A176" s="19" t="s">
        <v>129</v>
      </c>
      <c r="B176" s="20">
        <v>8.904223818935E12</v>
      </c>
      <c r="C176" s="20" t="s">
        <v>494</v>
      </c>
      <c r="D176" s="15">
        <f>VLOOKUP(B176,'Company X - SKU Master'!$A:$B,2,0)</f>
        <v>120</v>
      </c>
      <c r="E176" s="22">
        <f t="shared" si="1"/>
        <v>0.12</v>
      </c>
    </row>
    <row r="177">
      <c r="A177" s="19" t="s">
        <v>129</v>
      </c>
      <c r="B177" s="20">
        <v>8.904223816214E12</v>
      </c>
      <c r="C177" s="20" t="s">
        <v>494</v>
      </c>
      <c r="D177" s="15">
        <f>VLOOKUP(B177,'Company X - SKU Master'!$A:$B,2,0)</f>
        <v>120</v>
      </c>
      <c r="E177" s="22">
        <f t="shared" si="1"/>
        <v>0.12</v>
      </c>
    </row>
    <row r="178">
      <c r="A178" s="19" t="s">
        <v>129</v>
      </c>
      <c r="B178" s="20">
        <v>8.904223818454E12</v>
      </c>
      <c r="C178" s="20" t="s">
        <v>494</v>
      </c>
      <c r="D178" s="15">
        <f>VLOOKUP(B178,'Company X - SKU Master'!$A:$B,2,0)</f>
        <v>232</v>
      </c>
      <c r="E178" s="22">
        <f t="shared" si="1"/>
        <v>0.232</v>
      </c>
    </row>
    <row r="179">
      <c r="A179" s="19" t="s">
        <v>129</v>
      </c>
      <c r="B179" s="20" t="s">
        <v>502</v>
      </c>
      <c r="C179" s="20" t="s">
        <v>494</v>
      </c>
      <c r="D179" s="15">
        <f>VLOOKUP(B179,'Company X - SKU Master'!$A:$B,2,0)</f>
        <v>500</v>
      </c>
      <c r="E179" s="22">
        <f t="shared" si="1"/>
        <v>0.5</v>
      </c>
    </row>
    <row r="180">
      <c r="A180" s="19" t="s">
        <v>129</v>
      </c>
      <c r="B180" s="20">
        <v>8.904223819116E12</v>
      </c>
      <c r="C180" s="20" t="s">
        <v>494</v>
      </c>
      <c r="D180" s="15">
        <f>VLOOKUP(B180,'Company X - SKU Master'!$A:$B,2,0)</f>
        <v>30</v>
      </c>
      <c r="E180" s="22">
        <f t="shared" si="1"/>
        <v>0.03</v>
      </c>
    </row>
    <row r="181">
      <c r="A181" s="19" t="s">
        <v>127</v>
      </c>
      <c r="B181" s="20">
        <v>8.904223818706E12</v>
      </c>
      <c r="C181" s="20" t="s">
        <v>494</v>
      </c>
      <c r="D181" s="15">
        <f>VLOOKUP(B181,'Company X - SKU Master'!$A:$B,2,0)</f>
        <v>127</v>
      </c>
      <c r="E181" s="22">
        <f t="shared" si="1"/>
        <v>0.127</v>
      </c>
    </row>
    <row r="182">
      <c r="A182" s="19" t="s">
        <v>127</v>
      </c>
      <c r="B182" s="20">
        <v>8.904223819024E12</v>
      </c>
      <c r="C182" s="20" t="s">
        <v>500</v>
      </c>
      <c r="D182" s="15">
        <f>VLOOKUP(B182,'Company X - SKU Master'!$A:$B,2,0)</f>
        <v>112</v>
      </c>
      <c r="E182" s="22">
        <f t="shared" si="1"/>
        <v>0.896</v>
      </c>
    </row>
    <row r="183">
      <c r="A183" s="19" t="s">
        <v>127</v>
      </c>
      <c r="B183" s="20">
        <v>8.904223818683E12</v>
      </c>
      <c r="C183" s="20" t="s">
        <v>496</v>
      </c>
      <c r="D183" s="15">
        <f>VLOOKUP(B183,'Company X - SKU Master'!$A:$B,2,0)</f>
        <v>121</v>
      </c>
      <c r="E183" s="22">
        <f t="shared" si="1"/>
        <v>0.242</v>
      </c>
    </row>
    <row r="184">
      <c r="A184" s="19" t="s">
        <v>127</v>
      </c>
      <c r="B184" s="20">
        <v>8.90422381885E12</v>
      </c>
      <c r="C184" s="20" t="s">
        <v>494</v>
      </c>
      <c r="D184" s="15">
        <f>VLOOKUP(B184,'Company X - SKU Master'!$A:$B,2,0)</f>
        <v>240</v>
      </c>
      <c r="E184" s="22">
        <f t="shared" si="1"/>
        <v>0.24</v>
      </c>
    </row>
    <row r="185">
      <c r="A185" s="19" t="s">
        <v>255</v>
      </c>
      <c r="B185" s="20">
        <v>8.904223818706E12</v>
      </c>
      <c r="C185" s="20" t="s">
        <v>494</v>
      </c>
      <c r="D185" s="15">
        <f>VLOOKUP(B185,'Company X - SKU Master'!$A:$B,2,0)</f>
        <v>127</v>
      </c>
      <c r="E185" s="22">
        <f t="shared" si="1"/>
        <v>0.127</v>
      </c>
    </row>
    <row r="186">
      <c r="A186" s="19" t="s">
        <v>255</v>
      </c>
      <c r="B186" s="20">
        <v>8.90422381885E12</v>
      </c>
      <c r="C186" s="20" t="s">
        <v>494</v>
      </c>
      <c r="D186" s="15">
        <f>VLOOKUP(B186,'Company X - SKU Master'!$A:$B,2,0)</f>
        <v>240</v>
      </c>
      <c r="E186" s="22">
        <f t="shared" si="1"/>
        <v>0.24</v>
      </c>
    </row>
    <row r="187">
      <c r="A187" s="19" t="s">
        <v>255</v>
      </c>
      <c r="B187" s="20">
        <v>8.904223819468E12</v>
      </c>
      <c r="C187" s="20" t="s">
        <v>494</v>
      </c>
      <c r="D187" s="15">
        <f>VLOOKUP(B187,'Company X - SKU Master'!$A:$B,2,0)</f>
        <v>240</v>
      </c>
      <c r="E187" s="22">
        <f t="shared" si="1"/>
        <v>0.24</v>
      </c>
    </row>
    <row r="188">
      <c r="A188" s="19" t="s">
        <v>233</v>
      </c>
      <c r="B188" s="20">
        <v>8.904223818706E12</v>
      </c>
      <c r="C188" s="20" t="s">
        <v>494</v>
      </c>
      <c r="D188" s="15">
        <f>VLOOKUP(B188,'Company X - SKU Master'!$A:$B,2,0)</f>
        <v>127</v>
      </c>
      <c r="E188" s="22">
        <f t="shared" si="1"/>
        <v>0.127</v>
      </c>
    </row>
    <row r="189">
      <c r="A189" s="19" t="s">
        <v>233</v>
      </c>
      <c r="B189" s="20">
        <v>8.904223818942E12</v>
      </c>
      <c r="C189" s="20" t="s">
        <v>494</v>
      </c>
      <c r="D189" s="15">
        <f>VLOOKUP(B189,'Company X - SKU Master'!$A:$B,2,0)</f>
        <v>133</v>
      </c>
      <c r="E189" s="22">
        <f t="shared" si="1"/>
        <v>0.133</v>
      </c>
    </row>
    <row r="190">
      <c r="A190" s="19" t="s">
        <v>233</v>
      </c>
      <c r="B190" s="20">
        <v>8.90422381885E12</v>
      </c>
      <c r="C190" s="20" t="s">
        <v>494</v>
      </c>
      <c r="D190" s="15">
        <f>VLOOKUP(B190,'Company X - SKU Master'!$A:$B,2,0)</f>
        <v>240</v>
      </c>
      <c r="E190" s="22">
        <f t="shared" si="1"/>
        <v>0.24</v>
      </c>
    </row>
    <row r="191">
      <c r="A191" s="19" t="s">
        <v>231</v>
      </c>
      <c r="B191" s="20">
        <v>8.904223818706E12</v>
      </c>
      <c r="C191" s="20" t="s">
        <v>494</v>
      </c>
      <c r="D191" s="15">
        <f>VLOOKUP(B191,'Company X - SKU Master'!$A:$B,2,0)</f>
        <v>127</v>
      </c>
      <c r="E191" s="22">
        <f t="shared" si="1"/>
        <v>0.127</v>
      </c>
    </row>
    <row r="192">
      <c r="A192" s="19" t="s">
        <v>231</v>
      </c>
      <c r="B192" s="20">
        <v>8.904223818942E12</v>
      </c>
      <c r="C192" s="20" t="s">
        <v>494</v>
      </c>
      <c r="D192" s="15">
        <f>VLOOKUP(B192,'Company X - SKU Master'!$A:$B,2,0)</f>
        <v>133</v>
      </c>
      <c r="E192" s="22">
        <f t="shared" si="1"/>
        <v>0.133</v>
      </c>
    </row>
    <row r="193">
      <c r="A193" s="19" t="s">
        <v>231</v>
      </c>
      <c r="B193" s="20">
        <v>8.90422381885E12</v>
      </c>
      <c r="C193" s="20" t="s">
        <v>494</v>
      </c>
      <c r="D193" s="15">
        <f>VLOOKUP(B193,'Company X - SKU Master'!$A:$B,2,0)</f>
        <v>240</v>
      </c>
      <c r="E193" s="22">
        <f t="shared" si="1"/>
        <v>0.24</v>
      </c>
    </row>
    <row r="194">
      <c r="A194" s="19" t="s">
        <v>229</v>
      </c>
      <c r="B194" s="20">
        <v>8.904223818706E12</v>
      </c>
      <c r="C194" s="20" t="s">
        <v>494</v>
      </c>
      <c r="D194" s="15">
        <f>VLOOKUP(B194,'Company X - SKU Master'!$A:$B,2,0)</f>
        <v>127</v>
      </c>
      <c r="E194" s="22">
        <f t="shared" si="1"/>
        <v>0.127</v>
      </c>
    </row>
    <row r="195">
      <c r="A195" s="19" t="s">
        <v>229</v>
      </c>
      <c r="B195" s="20">
        <v>8.904223818942E12</v>
      </c>
      <c r="C195" s="20" t="s">
        <v>494</v>
      </c>
      <c r="D195" s="15">
        <f>VLOOKUP(B195,'Company X - SKU Master'!$A:$B,2,0)</f>
        <v>133</v>
      </c>
      <c r="E195" s="22">
        <f t="shared" si="1"/>
        <v>0.133</v>
      </c>
    </row>
    <row r="196">
      <c r="A196" s="19" t="s">
        <v>229</v>
      </c>
      <c r="B196" s="20">
        <v>8.90422381885E12</v>
      </c>
      <c r="C196" s="20" t="s">
        <v>494</v>
      </c>
      <c r="D196" s="15">
        <f>VLOOKUP(B196,'Company X - SKU Master'!$A:$B,2,0)</f>
        <v>240</v>
      </c>
      <c r="E196" s="22">
        <f t="shared" si="1"/>
        <v>0.24</v>
      </c>
    </row>
    <row r="197">
      <c r="A197" s="19" t="s">
        <v>227</v>
      </c>
      <c r="B197" s="20">
        <v>8.904223818706E12</v>
      </c>
      <c r="C197" s="20" t="s">
        <v>494</v>
      </c>
      <c r="D197" s="15">
        <f>VLOOKUP(B197,'Company X - SKU Master'!$A:$B,2,0)</f>
        <v>127</v>
      </c>
      <c r="E197" s="22">
        <f t="shared" si="1"/>
        <v>0.127</v>
      </c>
    </row>
    <row r="198">
      <c r="A198" s="19" t="s">
        <v>227</v>
      </c>
      <c r="B198" s="20">
        <v>8.904223818942E12</v>
      </c>
      <c r="C198" s="20" t="s">
        <v>494</v>
      </c>
      <c r="D198" s="15">
        <f>VLOOKUP(B198,'Company X - SKU Master'!$A:$B,2,0)</f>
        <v>133</v>
      </c>
      <c r="E198" s="22">
        <f t="shared" si="1"/>
        <v>0.133</v>
      </c>
    </row>
    <row r="199">
      <c r="A199" s="19" t="s">
        <v>227</v>
      </c>
      <c r="B199" s="20">
        <v>8.90422381885E12</v>
      </c>
      <c r="C199" s="20" t="s">
        <v>494</v>
      </c>
      <c r="D199" s="15">
        <f>VLOOKUP(B199,'Company X - SKU Master'!$A:$B,2,0)</f>
        <v>240</v>
      </c>
      <c r="E199" s="22">
        <f t="shared" si="1"/>
        <v>0.24</v>
      </c>
    </row>
    <row r="200">
      <c r="A200" s="19" t="s">
        <v>225</v>
      </c>
      <c r="B200" s="20">
        <v>8.904223819338E12</v>
      </c>
      <c r="C200" s="20" t="s">
        <v>494</v>
      </c>
      <c r="D200" s="15">
        <f>VLOOKUP(B200,'Company X - SKU Master'!$A:$B,2,0)</f>
        <v>600</v>
      </c>
      <c r="E200" s="22">
        <f t="shared" si="1"/>
        <v>0.6</v>
      </c>
    </row>
    <row r="201">
      <c r="A201" s="19" t="s">
        <v>141</v>
      </c>
      <c r="B201" s="20">
        <v>8.904223817273E12</v>
      </c>
      <c r="C201" s="20" t="s">
        <v>496</v>
      </c>
      <c r="D201" s="15">
        <f>VLOOKUP(B201,'Company X - SKU Master'!$A:$B,2,0)</f>
        <v>65</v>
      </c>
      <c r="E201" s="22">
        <f t="shared" si="1"/>
        <v>0.13</v>
      </c>
    </row>
    <row r="202">
      <c r="A202" s="19" t="s">
        <v>141</v>
      </c>
      <c r="B202" s="20">
        <v>8.904223815866E12</v>
      </c>
      <c r="C202" s="20" t="s">
        <v>496</v>
      </c>
      <c r="D202" s="15">
        <f>VLOOKUP(B202,'Company X - SKU Master'!$A:$B,2,0)</f>
        <v>113</v>
      </c>
      <c r="E202" s="22">
        <f t="shared" si="1"/>
        <v>0.226</v>
      </c>
    </row>
    <row r="203">
      <c r="A203" s="19" t="s">
        <v>141</v>
      </c>
      <c r="B203" s="20">
        <v>8.904223815859E12</v>
      </c>
      <c r="C203" s="20" t="s">
        <v>494</v>
      </c>
      <c r="D203" s="15">
        <f>VLOOKUP(B203,'Company X - SKU Master'!$A:$B,2,0)</f>
        <v>165</v>
      </c>
      <c r="E203" s="22">
        <f t="shared" si="1"/>
        <v>0.165</v>
      </c>
    </row>
    <row r="204">
      <c r="A204" s="19" t="s">
        <v>141</v>
      </c>
      <c r="B204" s="20">
        <v>8.904223815682E12</v>
      </c>
      <c r="C204" s="20" t="s">
        <v>494</v>
      </c>
      <c r="D204" s="15">
        <f>VLOOKUP(B204,'Company X - SKU Master'!$A:$B,2,0)</f>
        <v>210</v>
      </c>
      <c r="E204" s="22">
        <f t="shared" si="1"/>
        <v>0.21</v>
      </c>
    </row>
    <row r="205">
      <c r="A205" s="19" t="s">
        <v>223</v>
      </c>
      <c r="B205" s="20">
        <v>8.904223816214E12</v>
      </c>
      <c r="C205" s="20" t="s">
        <v>494</v>
      </c>
      <c r="D205" s="15">
        <f>VLOOKUP(B205,'Company X - SKU Master'!$A:$B,2,0)</f>
        <v>120</v>
      </c>
      <c r="E205" s="22">
        <f t="shared" si="1"/>
        <v>0.12</v>
      </c>
    </row>
    <row r="206">
      <c r="A206" s="19" t="s">
        <v>223</v>
      </c>
      <c r="B206" s="20">
        <v>8.904223818874E12</v>
      </c>
      <c r="C206" s="20" t="s">
        <v>494</v>
      </c>
      <c r="D206" s="15">
        <f>VLOOKUP(B206,'Company X - SKU Master'!$A:$B,2,0)</f>
        <v>100</v>
      </c>
      <c r="E206" s="22">
        <f t="shared" si="1"/>
        <v>0.1</v>
      </c>
    </row>
    <row r="207">
      <c r="A207" s="19" t="s">
        <v>221</v>
      </c>
      <c r="B207" s="20">
        <v>8.904223818706E12</v>
      </c>
      <c r="C207" s="20" t="s">
        <v>494</v>
      </c>
      <c r="D207" s="15">
        <f>VLOOKUP(B207,'Company X - SKU Master'!$A:$B,2,0)</f>
        <v>127</v>
      </c>
      <c r="E207" s="22">
        <f t="shared" si="1"/>
        <v>0.127</v>
      </c>
    </row>
    <row r="208">
      <c r="A208" s="19" t="s">
        <v>221</v>
      </c>
      <c r="B208" s="20">
        <v>8.904223818942E12</v>
      </c>
      <c r="C208" s="20" t="s">
        <v>494</v>
      </c>
      <c r="D208" s="15">
        <f>VLOOKUP(B208,'Company X - SKU Master'!$A:$B,2,0)</f>
        <v>133</v>
      </c>
      <c r="E208" s="22">
        <f t="shared" si="1"/>
        <v>0.133</v>
      </c>
    </row>
    <row r="209">
      <c r="A209" s="19" t="s">
        <v>221</v>
      </c>
      <c r="B209" s="20">
        <v>8.90422381885E12</v>
      </c>
      <c r="C209" s="20" t="s">
        <v>494</v>
      </c>
      <c r="D209" s="15">
        <f>VLOOKUP(B209,'Company X - SKU Master'!$A:$B,2,0)</f>
        <v>240</v>
      </c>
      <c r="E209" s="22">
        <f t="shared" si="1"/>
        <v>0.24</v>
      </c>
    </row>
    <row r="210">
      <c r="A210" s="19" t="s">
        <v>57</v>
      </c>
      <c r="B210" s="20">
        <v>8.904223818614E12</v>
      </c>
      <c r="C210" s="20" t="s">
        <v>494</v>
      </c>
      <c r="D210" s="15">
        <f>VLOOKUP(B210,'Company X - SKU Master'!$A:$B,2,0)</f>
        <v>65</v>
      </c>
      <c r="E210" s="22">
        <f t="shared" si="1"/>
        <v>0.065</v>
      </c>
    </row>
    <row r="211">
      <c r="A211" s="19" t="s">
        <v>57</v>
      </c>
      <c r="B211" s="20">
        <v>8.904223815866E12</v>
      </c>
      <c r="C211" s="20" t="s">
        <v>494</v>
      </c>
      <c r="D211" s="15">
        <f>VLOOKUP(B211,'Company X - SKU Master'!$A:$B,2,0)</f>
        <v>113</v>
      </c>
      <c r="E211" s="22">
        <f t="shared" si="1"/>
        <v>0.113</v>
      </c>
    </row>
    <row r="212">
      <c r="A212" s="19" t="s">
        <v>57</v>
      </c>
      <c r="B212" s="20">
        <v>8.904223815859E12</v>
      </c>
      <c r="C212" s="20" t="s">
        <v>494</v>
      </c>
      <c r="D212" s="15">
        <f>VLOOKUP(B212,'Company X - SKU Master'!$A:$B,2,0)</f>
        <v>165</v>
      </c>
      <c r="E212" s="22">
        <f t="shared" si="1"/>
        <v>0.165</v>
      </c>
    </row>
    <row r="213">
      <c r="A213" s="19" t="s">
        <v>57</v>
      </c>
      <c r="B213" s="20">
        <v>8.904223817334E12</v>
      </c>
      <c r="C213" s="20" t="s">
        <v>494</v>
      </c>
      <c r="D213" s="15">
        <f>VLOOKUP(B213,'Company X - SKU Master'!$A:$B,2,0)</f>
        <v>170</v>
      </c>
      <c r="E213" s="22">
        <f t="shared" si="1"/>
        <v>0.17</v>
      </c>
    </row>
    <row r="214">
      <c r="A214" s="19" t="s">
        <v>57</v>
      </c>
      <c r="B214" s="20" t="s">
        <v>503</v>
      </c>
      <c r="C214" s="20" t="s">
        <v>494</v>
      </c>
      <c r="D214" s="15">
        <f>VLOOKUP(B214,'Company X - SKU Master'!$A:$B,2,0)</f>
        <v>500</v>
      </c>
      <c r="E214" s="22">
        <f t="shared" si="1"/>
        <v>0.5</v>
      </c>
    </row>
    <row r="215">
      <c r="A215" s="19" t="s">
        <v>57</v>
      </c>
      <c r="B215" s="20">
        <v>8.904223819369E12</v>
      </c>
      <c r="C215" s="20" t="s">
        <v>494</v>
      </c>
      <c r="D215" s="15">
        <f>VLOOKUP(B215,'Company X - SKU Master'!$A:$B,2,0)</f>
        <v>170</v>
      </c>
      <c r="E215" s="22">
        <f t="shared" si="1"/>
        <v>0.17</v>
      </c>
    </row>
    <row r="216">
      <c r="A216" s="19" t="s">
        <v>219</v>
      </c>
      <c r="B216" s="20">
        <v>8.904223818706E12</v>
      </c>
      <c r="C216" s="20" t="s">
        <v>494</v>
      </c>
      <c r="D216" s="15">
        <f>VLOOKUP(B216,'Company X - SKU Master'!$A:$B,2,0)</f>
        <v>127</v>
      </c>
      <c r="E216" s="22">
        <f t="shared" si="1"/>
        <v>0.127</v>
      </c>
    </row>
    <row r="217">
      <c r="A217" s="19" t="s">
        <v>219</v>
      </c>
      <c r="B217" s="20">
        <v>8.904223818942E12</v>
      </c>
      <c r="C217" s="20" t="s">
        <v>494</v>
      </c>
      <c r="D217" s="15">
        <f>VLOOKUP(B217,'Company X - SKU Master'!$A:$B,2,0)</f>
        <v>133</v>
      </c>
      <c r="E217" s="22">
        <f t="shared" si="1"/>
        <v>0.133</v>
      </c>
    </row>
    <row r="218">
      <c r="A218" s="19" t="s">
        <v>219</v>
      </c>
      <c r="B218" s="20">
        <v>8.90422381885E12</v>
      </c>
      <c r="C218" s="20" t="s">
        <v>494</v>
      </c>
      <c r="D218" s="15">
        <f>VLOOKUP(B218,'Company X - SKU Master'!$A:$B,2,0)</f>
        <v>240</v>
      </c>
      <c r="E218" s="22">
        <f t="shared" si="1"/>
        <v>0.24</v>
      </c>
    </row>
    <row r="219">
      <c r="A219" s="19" t="s">
        <v>55</v>
      </c>
      <c r="B219" s="20">
        <v>8.904223819468E12</v>
      </c>
      <c r="C219" s="20" t="s">
        <v>496</v>
      </c>
      <c r="D219" s="15">
        <f>VLOOKUP(B219,'Company X - SKU Master'!$A:$B,2,0)</f>
        <v>240</v>
      </c>
      <c r="E219" s="22">
        <f t="shared" si="1"/>
        <v>0.48</v>
      </c>
    </row>
    <row r="220">
      <c r="A220" s="19" t="s">
        <v>55</v>
      </c>
      <c r="B220" s="20">
        <v>8.904223818706E12</v>
      </c>
      <c r="C220" s="20" t="s">
        <v>496</v>
      </c>
      <c r="D220" s="15">
        <f>VLOOKUP(B220,'Company X - SKU Master'!$A:$B,2,0)</f>
        <v>127</v>
      </c>
      <c r="E220" s="22">
        <f t="shared" si="1"/>
        <v>0.254</v>
      </c>
    </row>
    <row r="221">
      <c r="A221" s="19" t="s">
        <v>53</v>
      </c>
      <c r="B221" s="20">
        <v>8.904223818706E12</v>
      </c>
      <c r="C221" s="20" t="s">
        <v>494</v>
      </c>
      <c r="D221" s="15">
        <f>VLOOKUP(B221,'Company X - SKU Master'!$A:$B,2,0)</f>
        <v>127</v>
      </c>
      <c r="E221" s="22">
        <f t="shared" si="1"/>
        <v>0.127</v>
      </c>
    </row>
    <row r="222">
      <c r="A222" s="19" t="s">
        <v>53</v>
      </c>
      <c r="B222" s="20">
        <v>8.90422381885E12</v>
      </c>
      <c r="C222" s="20" t="s">
        <v>494</v>
      </c>
      <c r="D222" s="15">
        <f>VLOOKUP(B222,'Company X - SKU Master'!$A:$B,2,0)</f>
        <v>240</v>
      </c>
      <c r="E222" s="22">
        <f t="shared" si="1"/>
        <v>0.24</v>
      </c>
    </row>
    <row r="223">
      <c r="A223" s="19" t="s">
        <v>53</v>
      </c>
      <c r="B223" s="20">
        <v>8.904223819468E12</v>
      </c>
      <c r="C223" s="20" t="s">
        <v>494</v>
      </c>
      <c r="D223" s="15">
        <f>VLOOKUP(B223,'Company X - SKU Master'!$A:$B,2,0)</f>
        <v>240</v>
      </c>
      <c r="E223" s="22">
        <f t="shared" si="1"/>
        <v>0.24</v>
      </c>
    </row>
    <row r="224">
      <c r="A224" s="19" t="s">
        <v>217</v>
      </c>
      <c r="B224" s="20">
        <v>8.904223818706E12</v>
      </c>
      <c r="C224" s="20" t="s">
        <v>494</v>
      </c>
      <c r="D224" s="15">
        <f>VLOOKUP(B224,'Company X - SKU Master'!$A:$B,2,0)</f>
        <v>127</v>
      </c>
      <c r="E224" s="22">
        <f t="shared" si="1"/>
        <v>0.127</v>
      </c>
    </row>
    <row r="225">
      <c r="A225" s="19" t="s">
        <v>217</v>
      </c>
      <c r="B225" s="20">
        <v>8.904223818942E12</v>
      </c>
      <c r="C225" s="20" t="s">
        <v>494</v>
      </c>
      <c r="D225" s="15">
        <f>VLOOKUP(B225,'Company X - SKU Master'!$A:$B,2,0)</f>
        <v>133</v>
      </c>
      <c r="E225" s="22">
        <f t="shared" si="1"/>
        <v>0.133</v>
      </c>
    </row>
    <row r="226">
      <c r="A226" s="19" t="s">
        <v>217</v>
      </c>
      <c r="B226" s="20">
        <v>8.90422381885E12</v>
      </c>
      <c r="C226" s="20" t="s">
        <v>494</v>
      </c>
      <c r="D226" s="15">
        <f>VLOOKUP(B226,'Company X - SKU Master'!$A:$B,2,0)</f>
        <v>240</v>
      </c>
      <c r="E226" s="22">
        <f t="shared" si="1"/>
        <v>0.24</v>
      </c>
    </row>
    <row r="227">
      <c r="A227" s="19" t="s">
        <v>51</v>
      </c>
      <c r="B227" s="20">
        <v>8.904223819161E12</v>
      </c>
      <c r="C227" s="20" t="s">
        <v>494</v>
      </c>
      <c r="D227" s="15">
        <f>VLOOKUP(B227,'Company X - SKU Master'!$A:$B,2,0)</f>
        <v>115</v>
      </c>
      <c r="E227" s="22">
        <f t="shared" si="1"/>
        <v>0.115</v>
      </c>
    </row>
    <row r="228">
      <c r="A228" s="19" t="s">
        <v>51</v>
      </c>
      <c r="B228" s="20">
        <v>8.90422381926E12</v>
      </c>
      <c r="C228" s="20" t="s">
        <v>494</v>
      </c>
      <c r="D228" s="15">
        <f>VLOOKUP(B228,'Company X - SKU Master'!$A:$B,2,0)</f>
        <v>130</v>
      </c>
      <c r="E228" s="22">
        <f t="shared" si="1"/>
        <v>0.13</v>
      </c>
    </row>
    <row r="229">
      <c r="A229" s="19" t="s">
        <v>139</v>
      </c>
      <c r="B229" s="20">
        <v>8.904223818683E12</v>
      </c>
      <c r="C229" s="20" t="s">
        <v>494</v>
      </c>
      <c r="D229" s="15">
        <f>VLOOKUP(B229,'Company X - SKU Master'!$A:$B,2,0)</f>
        <v>121</v>
      </c>
      <c r="E229" s="22">
        <f t="shared" si="1"/>
        <v>0.121</v>
      </c>
    </row>
    <row r="230">
      <c r="A230" s="19" t="s">
        <v>139</v>
      </c>
      <c r="B230" s="20">
        <v>8.904223819468E12</v>
      </c>
      <c r="C230" s="20" t="s">
        <v>494</v>
      </c>
      <c r="D230" s="15">
        <f>VLOOKUP(B230,'Company X - SKU Master'!$A:$B,2,0)</f>
        <v>240</v>
      </c>
      <c r="E230" s="22">
        <f t="shared" si="1"/>
        <v>0.24</v>
      </c>
    </row>
    <row r="231">
      <c r="A231" s="19" t="s">
        <v>139</v>
      </c>
      <c r="B231" s="20">
        <v>8.90422381885E12</v>
      </c>
      <c r="C231" s="20" t="s">
        <v>494</v>
      </c>
      <c r="D231" s="15">
        <f>VLOOKUP(B231,'Company X - SKU Master'!$A:$B,2,0)</f>
        <v>240</v>
      </c>
      <c r="E231" s="22">
        <f t="shared" si="1"/>
        <v>0.24</v>
      </c>
    </row>
    <row r="232">
      <c r="A232" s="19" t="s">
        <v>49</v>
      </c>
      <c r="B232" s="20">
        <v>8.904223818706E12</v>
      </c>
      <c r="C232" s="20" t="s">
        <v>494</v>
      </c>
      <c r="D232" s="15">
        <f>VLOOKUP(B232,'Company X - SKU Master'!$A:$B,2,0)</f>
        <v>127</v>
      </c>
      <c r="E232" s="22">
        <f t="shared" si="1"/>
        <v>0.127</v>
      </c>
    </row>
    <row r="233">
      <c r="A233" s="19" t="s">
        <v>49</v>
      </c>
      <c r="B233" s="20">
        <v>8.90422381885E12</v>
      </c>
      <c r="C233" s="20" t="s">
        <v>494</v>
      </c>
      <c r="D233" s="15">
        <f>VLOOKUP(B233,'Company X - SKU Master'!$A:$B,2,0)</f>
        <v>240</v>
      </c>
      <c r="E233" s="22">
        <f t="shared" si="1"/>
        <v>0.24</v>
      </c>
    </row>
    <row r="234">
      <c r="A234" s="19" t="s">
        <v>49</v>
      </c>
      <c r="B234" s="20">
        <v>8.904223819468E12</v>
      </c>
      <c r="C234" s="20" t="s">
        <v>494</v>
      </c>
      <c r="D234" s="15">
        <f>VLOOKUP(B234,'Company X - SKU Master'!$A:$B,2,0)</f>
        <v>240</v>
      </c>
      <c r="E234" s="22">
        <f t="shared" si="1"/>
        <v>0.24</v>
      </c>
    </row>
    <row r="235">
      <c r="A235" s="19" t="s">
        <v>47</v>
      </c>
      <c r="B235" s="20">
        <v>8.904223815859E12</v>
      </c>
      <c r="C235" s="20" t="s">
        <v>494</v>
      </c>
      <c r="D235" s="15">
        <f>VLOOKUP(B235,'Company X - SKU Master'!$A:$B,2,0)</f>
        <v>165</v>
      </c>
      <c r="E235" s="22">
        <f t="shared" si="1"/>
        <v>0.165</v>
      </c>
    </row>
    <row r="236">
      <c r="A236" s="19" t="s">
        <v>47</v>
      </c>
      <c r="B236" s="20">
        <v>8.904223817273E12</v>
      </c>
      <c r="C236" s="20" t="s">
        <v>494</v>
      </c>
      <c r="D236" s="15">
        <f>VLOOKUP(B236,'Company X - SKU Master'!$A:$B,2,0)</f>
        <v>65</v>
      </c>
      <c r="E236" s="22">
        <f t="shared" si="1"/>
        <v>0.065</v>
      </c>
    </row>
    <row r="237">
      <c r="A237" s="19" t="s">
        <v>47</v>
      </c>
      <c r="B237" s="20">
        <v>8.904223818751E12</v>
      </c>
      <c r="C237" s="20" t="s">
        <v>494</v>
      </c>
      <c r="D237" s="15">
        <f>VLOOKUP(B237,'Company X - SKU Master'!$A:$B,2,0)</f>
        <v>113</v>
      </c>
      <c r="E237" s="22">
        <f t="shared" si="1"/>
        <v>0.113</v>
      </c>
    </row>
    <row r="238">
      <c r="A238" s="19" t="s">
        <v>45</v>
      </c>
      <c r="B238" s="20">
        <v>8.904223819291E12</v>
      </c>
      <c r="C238" s="20" t="s">
        <v>496</v>
      </c>
      <c r="D238" s="15">
        <f>VLOOKUP(B238,'Company X - SKU Master'!$A:$B,2,0)</f>
        <v>112</v>
      </c>
      <c r="E238" s="22">
        <f t="shared" si="1"/>
        <v>0.224</v>
      </c>
    </row>
    <row r="239">
      <c r="A239" s="19" t="s">
        <v>45</v>
      </c>
      <c r="B239" s="20">
        <v>8.904223819031E12</v>
      </c>
      <c r="C239" s="20" t="s">
        <v>496</v>
      </c>
      <c r="D239" s="15">
        <f>VLOOKUP(B239,'Company X - SKU Master'!$A:$B,2,0)</f>
        <v>112</v>
      </c>
      <c r="E239" s="22">
        <f t="shared" si="1"/>
        <v>0.224</v>
      </c>
    </row>
    <row r="240">
      <c r="A240" s="19" t="s">
        <v>45</v>
      </c>
      <c r="B240" s="20">
        <v>8.904223819024E12</v>
      </c>
      <c r="C240" s="20" t="s">
        <v>496</v>
      </c>
      <c r="D240" s="15">
        <f>VLOOKUP(B240,'Company X - SKU Master'!$A:$B,2,0)</f>
        <v>112</v>
      </c>
      <c r="E240" s="22">
        <f t="shared" si="1"/>
        <v>0.224</v>
      </c>
    </row>
    <row r="241">
      <c r="A241" s="19" t="s">
        <v>45</v>
      </c>
      <c r="B241" s="20">
        <v>8.904223819161E12</v>
      </c>
      <c r="C241" s="20" t="s">
        <v>494</v>
      </c>
      <c r="D241" s="15">
        <f>VLOOKUP(B241,'Company X - SKU Master'!$A:$B,2,0)</f>
        <v>115</v>
      </c>
      <c r="E241" s="22">
        <f t="shared" si="1"/>
        <v>0.115</v>
      </c>
    </row>
    <row r="242">
      <c r="A242" s="19" t="s">
        <v>45</v>
      </c>
      <c r="B242" s="20">
        <v>8.90422381926E12</v>
      </c>
      <c r="C242" s="20" t="s">
        <v>494</v>
      </c>
      <c r="D242" s="15">
        <f>VLOOKUP(B242,'Company X - SKU Master'!$A:$B,2,0)</f>
        <v>130</v>
      </c>
      <c r="E242" s="22">
        <f t="shared" si="1"/>
        <v>0.13</v>
      </c>
    </row>
    <row r="243">
      <c r="A243" s="19" t="s">
        <v>45</v>
      </c>
      <c r="B243" s="20">
        <v>8.904223819468E12</v>
      </c>
      <c r="C243" s="20" t="s">
        <v>494</v>
      </c>
      <c r="D243" s="15">
        <f>VLOOKUP(B243,'Company X - SKU Master'!$A:$B,2,0)</f>
        <v>240</v>
      </c>
      <c r="E243" s="22">
        <f t="shared" si="1"/>
        <v>0.24</v>
      </c>
    </row>
    <row r="244">
      <c r="A244" s="19" t="s">
        <v>137</v>
      </c>
      <c r="B244" s="20">
        <v>8.904223818706E12</v>
      </c>
      <c r="C244" s="20" t="s">
        <v>494</v>
      </c>
      <c r="D244" s="15">
        <f>VLOOKUP(B244,'Company X - SKU Master'!$A:$B,2,0)</f>
        <v>127</v>
      </c>
      <c r="E244" s="22">
        <f t="shared" si="1"/>
        <v>0.127</v>
      </c>
    </row>
    <row r="245">
      <c r="A245" s="19" t="s">
        <v>137</v>
      </c>
      <c r="B245" s="20">
        <v>8.904223818942E12</v>
      </c>
      <c r="C245" s="20" t="s">
        <v>494</v>
      </c>
      <c r="D245" s="15">
        <f>VLOOKUP(B245,'Company X - SKU Master'!$A:$B,2,0)</f>
        <v>133</v>
      </c>
      <c r="E245" s="22">
        <f t="shared" si="1"/>
        <v>0.133</v>
      </c>
    </row>
    <row r="246">
      <c r="A246" s="19" t="s">
        <v>137</v>
      </c>
      <c r="B246" s="20">
        <v>8.90422381885E12</v>
      </c>
      <c r="C246" s="20" t="s">
        <v>494</v>
      </c>
      <c r="D246" s="15">
        <f>VLOOKUP(B246,'Company X - SKU Master'!$A:$B,2,0)</f>
        <v>240</v>
      </c>
      <c r="E246" s="22">
        <f t="shared" si="1"/>
        <v>0.24</v>
      </c>
    </row>
    <row r="247">
      <c r="A247" s="19" t="s">
        <v>59</v>
      </c>
      <c r="B247" s="20">
        <v>8.904223819468E12</v>
      </c>
      <c r="C247" s="20" t="s">
        <v>494</v>
      </c>
      <c r="D247" s="15">
        <f>VLOOKUP(B247,'Company X - SKU Master'!$A:$B,2,0)</f>
        <v>240</v>
      </c>
      <c r="E247" s="22">
        <f t="shared" si="1"/>
        <v>0.24</v>
      </c>
    </row>
    <row r="248">
      <c r="A248" s="19" t="s">
        <v>59</v>
      </c>
      <c r="B248" s="20">
        <v>8.904223818669E12</v>
      </c>
      <c r="C248" s="20" t="s">
        <v>494</v>
      </c>
      <c r="D248" s="15">
        <f>VLOOKUP(B248,'Company X - SKU Master'!$A:$B,2,0)</f>
        <v>240</v>
      </c>
      <c r="E248" s="22">
        <f t="shared" si="1"/>
        <v>0.24</v>
      </c>
    </row>
    <row r="249">
      <c r="A249" s="19" t="s">
        <v>59</v>
      </c>
      <c r="B249" s="20">
        <v>8.904223818683E12</v>
      </c>
      <c r="C249" s="20" t="s">
        <v>494</v>
      </c>
      <c r="D249" s="15">
        <f>VLOOKUP(B249,'Company X - SKU Master'!$A:$B,2,0)</f>
        <v>121</v>
      </c>
      <c r="E249" s="22">
        <f t="shared" si="1"/>
        <v>0.121</v>
      </c>
    </row>
    <row r="250">
      <c r="A250" s="19" t="s">
        <v>59</v>
      </c>
      <c r="B250" s="20">
        <v>8.904223818713E12</v>
      </c>
      <c r="C250" s="20" t="s">
        <v>494</v>
      </c>
      <c r="D250" s="15">
        <f>VLOOKUP(B250,'Company X - SKU Master'!$A:$B,2,0)</f>
        <v>120</v>
      </c>
      <c r="E250" s="22">
        <f t="shared" si="1"/>
        <v>0.12</v>
      </c>
    </row>
    <row r="251">
      <c r="A251" s="19" t="s">
        <v>211</v>
      </c>
      <c r="B251" s="20">
        <v>8.904223819321E12</v>
      </c>
      <c r="C251" s="20" t="s">
        <v>494</v>
      </c>
      <c r="D251" s="15">
        <f>VLOOKUP(B251,'Company X - SKU Master'!$A:$B,2,0)</f>
        <v>600</v>
      </c>
      <c r="E251" s="22">
        <f t="shared" si="1"/>
        <v>0.6</v>
      </c>
    </row>
    <row r="252">
      <c r="A252" s="19" t="s">
        <v>211</v>
      </c>
      <c r="B252" s="20">
        <v>8.90422381843E12</v>
      </c>
      <c r="C252" s="20" t="s">
        <v>494</v>
      </c>
      <c r="D252" s="15">
        <f>VLOOKUP(B252,'Company X - SKU Master'!$A:$B,2,0)</f>
        <v>165</v>
      </c>
      <c r="E252" s="22">
        <f t="shared" si="1"/>
        <v>0.165</v>
      </c>
    </row>
    <row r="253">
      <c r="A253" s="19" t="s">
        <v>41</v>
      </c>
      <c r="B253" s="20">
        <v>8.904223818669E12</v>
      </c>
      <c r="C253" s="20" t="s">
        <v>494</v>
      </c>
      <c r="D253" s="15">
        <f>VLOOKUP(B253,'Company X - SKU Master'!$A:$B,2,0)</f>
        <v>240</v>
      </c>
      <c r="E253" s="22">
        <f t="shared" si="1"/>
        <v>0.24</v>
      </c>
    </row>
    <row r="254">
      <c r="A254" s="19" t="s">
        <v>41</v>
      </c>
      <c r="B254" s="20">
        <v>8.904223819147E12</v>
      </c>
      <c r="C254" s="20" t="s">
        <v>494</v>
      </c>
      <c r="D254" s="15">
        <f>VLOOKUP(B254,'Company X - SKU Master'!$A:$B,2,0)</f>
        <v>240</v>
      </c>
      <c r="E254" s="22">
        <f t="shared" si="1"/>
        <v>0.24</v>
      </c>
    </row>
    <row r="255">
      <c r="A255" s="19" t="s">
        <v>41</v>
      </c>
      <c r="B255" s="20">
        <v>8.90422381885E12</v>
      </c>
      <c r="C255" s="20" t="s">
        <v>494</v>
      </c>
      <c r="D255" s="15">
        <f>VLOOKUP(B255,'Company X - SKU Master'!$A:$B,2,0)</f>
        <v>240</v>
      </c>
      <c r="E255" s="22">
        <f t="shared" si="1"/>
        <v>0.24</v>
      </c>
    </row>
    <row r="256">
      <c r="A256" s="19" t="s">
        <v>41</v>
      </c>
      <c r="B256" s="20">
        <v>8.904223819505E12</v>
      </c>
      <c r="C256" s="20" t="s">
        <v>494</v>
      </c>
      <c r="D256" s="15">
        <f>VLOOKUP(B256,'Company X - SKU Master'!$A:$B,2,0)</f>
        <v>210</v>
      </c>
      <c r="E256" s="22">
        <f t="shared" si="1"/>
        <v>0.21</v>
      </c>
    </row>
    <row r="257">
      <c r="A257" s="19" t="s">
        <v>39</v>
      </c>
      <c r="B257" s="20">
        <v>8.904223818706E12</v>
      </c>
      <c r="C257" s="20" t="s">
        <v>494</v>
      </c>
      <c r="D257" s="15">
        <f>VLOOKUP(B257,'Company X - SKU Master'!$A:$B,2,0)</f>
        <v>127</v>
      </c>
      <c r="E257" s="22">
        <f t="shared" si="1"/>
        <v>0.127</v>
      </c>
    </row>
    <row r="258">
      <c r="A258" s="19" t="s">
        <v>39</v>
      </c>
      <c r="B258" s="20">
        <v>8.904223818942E12</v>
      </c>
      <c r="C258" s="20" t="s">
        <v>494</v>
      </c>
      <c r="D258" s="15">
        <f>VLOOKUP(B258,'Company X - SKU Master'!$A:$B,2,0)</f>
        <v>133</v>
      </c>
      <c r="E258" s="22">
        <f t="shared" si="1"/>
        <v>0.133</v>
      </c>
    </row>
    <row r="259">
      <c r="A259" s="19" t="s">
        <v>39</v>
      </c>
      <c r="B259" s="20">
        <v>8.90422381885E12</v>
      </c>
      <c r="C259" s="20" t="s">
        <v>494</v>
      </c>
      <c r="D259" s="15">
        <f>VLOOKUP(B259,'Company X - SKU Master'!$A:$B,2,0)</f>
        <v>240</v>
      </c>
      <c r="E259" s="22">
        <f t="shared" si="1"/>
        <v>0.24</v>
      </c>
    </row>
    <row r="260">
      <c r="A260" s="19" t="s">
        <v>39</v>
      </c>
      <c r="B260" s="20">
        <v>8.904223819246E12</v>
      </c>
      <c r="C260" s="20" t="s">
        <v>496</v>
      </c>
      <c r="D260" s="15">
        <f>VLOOKUP(B260,'Company X - SKU Master'!$A:$B,2,0)</f>
        <v>290</v>
      </c>
      <c r="E260" s="22">
        <f t="shared" si="1"/>
        <v>0.58</v>
      </c>
    </row>
    <row r="261">
      <c r="A261" s="19" t="s">
        <v>37</v>
      </c>
      <c r="B261" s="20">
        <v>8.904223818706E12</v>
      </c>
      <c r="C261" s="20" t="s">
        <v>494</v>
      </c>
      <c r="D261" s="15">
        <f>VLOOKUP(B261,'Company X - SKU Master'!$A:$B,2,0)</f>
        <v>127</v>
      </c>
      <c r="E261" s="22">
        <f t="shared" si="1"/>
        <v>0.127</v>
      </c>
    </row>
    <row r="262">
      <c r="A262" s="19" t="s">
        <v>37</v>
      </c>
      <c r="B262" s="20">
        <v>8.90422381885E12</v>
      </c>
      <c r="C262" s="20" t="s">
        <v>494</v>
      </c>
      <c r="D262" s="15">
        <f>VLOOKUP(B262,'Company X - SKU Master'!$A:$B,2,0)</f>
        <v>240</v>
      </c>
      <c r="E262" s="22">
        <f t="shared" si="1"/>
        <v>0.24</v>
      </c>
    </row>
    <row r="263">
      <c r="A263" s="19" t="s">
        <v>37</v>
      </c>
      <c r="B263" s="20">
        <v>8.904223819468E12</v>
      </c>
      <c r="C263" s="20" t="s">
        <v>494</v>
      </c>
      <c r="D263" s="15">
        <f>VLOOKUP(B263,'Company X - SKU Master'!$A:$B,2,0)</f>
        <v>240</v>
      </c>
      <c r="E263" s="22">
        <f t="shared" si="1"/>
        <v>0.24</v>
      </c>
    </row>
    <row r="264">
      <c r="A264" s="19" t="s">
        <v>43</v>
      </c>
      <c r="B264" s="20">
        <v>8.904223819468E12</v>
      </c>
      <c r="C264" s="20" t="s">
        <v>494</v>
      </c>
      <c r="D264" s="15">
        <f>VLOOKUP(B264,'Company X - SKU Master'!$A:$B,2,0)</f>
        <v>240</v>
      </c>
      <c r="E264" s="22">
        <f t="shared" si="1"/>
        <v>0.24</v>
      </c>
    </row>
    <row r="265">
      <c r="A265" s="19" t="s">
        <v>209</v>
      </c>
      <c r="B265" s="20">
        <v>8.904223818706E12</v>
      </c>
      <c r="C265" s="20" t="s">
        <v>494</v>
      </c>
      <c r="D265" s="15">
        <f>VLOOKUP(B265,'Company X - SKU Master'!$A:$B,2,0)</f>
        <v>127</v>
      </c>
      <c r="E265" s="22">
        <f t="shared" si="1"/>
        <v>0.127</v>
      </c>
    </row>
    <row r="266">
      <c r="A266" s="19" t="s">
        <v>209</v>
      </c>
      <c r="B266" s="20">
        <v>8.904223818942E12</v>
      </c>
      <c r="C266" s="20" t="s">
        <v>494</v>
      </c>
      <c r="D266" s="15">
        <f>VLOOKUP(B266,'Company X - SKU Master'!$A:$B,2,0)</f>
        <v>133</v>
      </c>
      <c r="E266" s="22">
        <f t="shared" si="1"/>
        <v>0.133</v>
      </c>
    </row>
    <row r="267">
      <c r="A267" s="19" t="s">
        <v>209</v>
      </c>
      <c r="B267" s="20">
        <v>8.90422381885E12</v>
      </c>
      <c r="C267" s="20" t="s">
        <v>494</v>
      </c>
      <c r="D267" s="15">
        <f>VLOOKUP(B267,'Company X - SKU Master'!$A:$B,2,0)</f>
        <v>240</v>
      </c>
      <c r="E267" s="22">
        <f t="shared" si="1"/>
        <v>0.24</v>
      </c>
    </row>
    <row r="268">
      <c r="A268" s="19" t="s">
        <v>35</v>
      </c>
      <c r="B268" s="20">
        <v>8.904223818706E12</v>
      </c>
      <c r="C268" s="20" t="s">
        <v>494</v>
      </c>
      <c r="D268" s="15">
        <f>VLOOKUP(B268,'Company X - SKU Master'!$A:$B,2,0)</f>
        <v>127</v>
      </c>
      <c r="E268" s="22">
        <f t="shared" si="1"/>
        <v>0.127</v>
      </c>
    </row>
    <row r="269">
      <c r="A269" s="19" t="s">
        <v>35</v>
      </c>
      <c r="B269" s="20">
        <v>8.90422381885E12</v>
      </c>
      <c r="C269" s="20" t="s">
        <v>494</v>
      </c>
      <c r="D269" s="15">
        <f>VLOOKUP(B269,'Company X - SKU Master'!$A:$B,2,0)</f>
        <v>240</v>
      </c>
      <c r="E269" s="22">
        <f t="shared" si="1"/>
        <v>0.24</v>
      </c>
    </row>
    <row r="270">
      <c r="A270" s="19" t="s">
        <v>35</v>
      </c>
      <c r="B270" s="20">
        <v>8.904223819468E12</v>
      </c>
      <c r="C270" s="20" t="s">
        <v>494</v>
      </c>
      <c r="D270" s="15">
        <f>VLOOKUP(B270,'Company X - SKU Master'!$A:$B,2,0)</f>
        <v>240</v>
      </c>
      <c r="E270" s="22">
        <f t="shared" si="1"/>
        <v>0.24</v>
      </c>
    </row>
    <row r="271">
      <c r="A271" s="19" t="s">
        <v>207</v>
      </c>
      <c r="B271" s="20">
        <v>8.904223818706E12</v>
      </c>
      <c r="C271" s="20" t="s">
        <v>494</v>
      </c>
      <c r="D271" s="15">
        <f>VLOOKUP(B271,'Company X - SKU Master'!$A:$B,2,0)</f>
        <v>127</v>
      </c>
      <c r="E271" s="22">
        <f t="shared" si="1"/>
        <v>0.127</v>
      </c>
    </row>
    <row r="272">
      <c r="A272" s="19" t="s">
        <v>207</v>
      </c>
      <c r="B272" s="20">
        <v>8.904223818942E12</v>
      </c>
      <c r="C272" s="20" t="s">
        <v>494</v>
      </c>
      <c r="D272" s="15">
        <f>VLOOKUP(B272,'Company X - SKU Master'!$A:$B,2,0)</f>
        <v>133</v>
      </c>
      <c r="E272" s="22">
        <f t="shared" si="1"/>
        <v>0.133</v>
      </c>
    </row>
    <row r="273">
      <c r="A273" s="19" t="s">
        <v>207</v>
      </c>
      <c r="B273" s="20">
        <v>8.90422381885E12</v>
      </c>
      <c r="C273" s="20" t="s">
        <v>494</v>
      </c>
      <c r="D273" s="15">
        <f>VLOOKUP(B273,'Company X - SKU Master'!$A:$B,2,0)</f>
        <v>240</v>
      </c>
      <c r="E273" s="22">
        <f t="shared" si="1"/>
        <v>0.24</v>
      </c>
    </row>
    <row r="274">
      <c r="A274" s="19" t="s">
        <v>215</v>
      </c>
      <c r="B274" s="20">
        <v>8.904223819147E12</v>
      </c>
      <c r="C274" s="20" t="s">
        <v>494</v>
      </c>
      <c r="D274" s="15">
        <f>VLOOKUP(B274,'Company X - SKU Master'!$A:$B,2,0)</f>
        <v>240</v>
      </c>
      <c r="E274" s="22">
        <f t="shared" si="1"/>
        <v>0.24</v>
      </c>
    </row>
    <row r="275">
      <c r="A275" s="19" t="s">
        <v>215</v>
      </c>
      <c r="B275" s="20">
        <v>8.904223819468E12</v>
      </c>
      <c r="C275" s="20" t="s">
        <v>494</v>
      </c>
      <c r="D275" s="15">
        <f>VLOOKUP(B275,'Company X - SKU Master'!$A:$B,2,0)</f>
        <v>240</v>
      </c>
      <c r="E275" s="22">
        <f t="shared" si="1"/>
        <v>0.24</v>
      </c>
    </row>
    <row r="276">
      <c r="A276" s="19" t="s">
        <v>215</v>
      </c>
      <c r="B276" s="20">
        <v>8.904223819277E12</v>
      </c>
      <c r="C276" s="20" t="s">
        <v>494</v>
      </c>
      <c r="D276" s="15">
        <f>VLOOKUP(B276,'Company X - SKU Master'!$A:$B,2,0)</f>
        <v>350</v>
      </c>
      <c r="E276" s="22">
        <f t="shared" si="1"/>
        <v>0.35</v>
      </c>
    </row>
    <row r="277">
      <c r="A277" s="19" t="s">
        <v>125</v>
      </c>
      <c r="B277" s="20">
        <v>8.90422381885E12</v>
      </c>
      <c r="C277" s="20" t="s">
        <v>496</v>
      </c>
      <c r="D277" s="15">
        <f>VLOOKUP(B277,'Company X - SKU Master'!$A:$B,2,0)</f>
        <v>240</v>
      </c>
      <c r="E277" s="22">
        <f t="shared" si="1"/>
        <v>0.48</v>
      </c>
    </row>
    <row r="278">
      <c r="A278" s="19" t="s">
        <v>125</v>
      </c>
      <c r="B278" s="20">
        <v>8.904223818713E12</v>
      </c>
      <c r="C278" s="20" t="s">
        <v>494</v>
      </c>
      <c r="D278" s="15">
        <f>VLOOKUP(B278,'Company X - SKU Master'!$A:$B,2,0)</f>
        <v>120</v>
      </c>
      <c r="E278" s="22">
        <f t="shared" si="1"/>
        <v>0.12</v>
      </c>
    </row>
    <row r="279">
      <c r="A279" s="19" t="s">
        <v>125</v>
      </c>
      <c r="B279" s="20">
        <v>8.904223819024E12</v>
      </c>
      <c r="C279" s="20" t="s">
        <v>498</v>
      </c>
      <c r="D279" s="15">
        <f>VLOOKUP(B279,'Company X - SKU Master'!$A:$B,2,0)</f>
        <v>112</v>
      </c>
      <c r="E279" s="22">
        <f t="shared" si="1"/>
        <v>0.448</v>
      </c>
    </row>
    <row r="280">
      <c r="A280" s="19" t="s">
        <v>123</v>
      </c>
      <c r="B280" s="20">
        <v>8.904223819031E12</v>
      </c>
      <c r="C280" s="20" t="s">
        <v>504</v>
      </c>
      <c r="D280" s="15">
        <f>VLOOKUP(B280,'Company X - SKU Master'!$A:$B,2,0)</f>
        <v>112</v>
      </c>
      <c r="E280" s="22">
        <f t="shared" si="1"/>
        <v>0.672</v>
      </c>
    </row>
    <row r="281">
      <c r="A281" s="19" t="s">
        <v>123</v>
      </c>
      <c r="B281" s="20">
        <v>8.904223819024E12</v>
      </c>
      <c r="C281" s="20" t="s">
        <v>504</v>
      </c>
      <c r="D281" s="15">
        <f>VLOOKUP(B281,'Company X - SKU Master'!$A:$B,2,0)</f>
        <v>112</v>
      </c>
      <c r="E281" s="22">
        <f t="shared" si="1"/>
        <v>0.672</v>
      </c>
    </row>
    <row r="282">
      <c r="A282" s="19" t="s">
        <v>123</v>
      </c>
      <c r="B282" s="20">
        <v>8.904223819291E12</v>
      </c>
      <c r="C282" s="20" t="s">
        <v>496</v>
      </c>
      <c r="D282" s="15">
        <f>VLOOKUP(B282,'Company X - SKU Master'!$A:$B,2,0)</f>
        <v>112</v>
      </c>
      <c r="E282" s="22">
        <f t="shared" si="1"/>
        <v>0.224</v>
      </c>
    </row>
    <row r="283">
      <c r="A283" s="19" t="s">
        <v>123</v>
      </c>
      <c r="B283" s="20">
        <v>8.904223819031E12</v>
      </c>
      <c r="C283" s="20" t="s">
        <v>496</v>
      </c>
      <c r="D283" s="15">
        <f>VLOOKUP(B283,'Company X - SKU Master'!$A:$B,2,0)</f>
        <v>112</v>
      </c>
      <c r="E283" s="22">
        <f t="shared" si="1"/>
        <v>0.224</v>
      </c>
    </row>
    <row r="284">
      <c r="A284" s="19" t="s">
        <v>123</v>
      </c>
      <c r="B284" s="20">
        <v>8.904223819024E12</v>
      </c>
      <c r="C284" s="20" t="s">
        <v>496</v>
      </c>
      <c r="D284" s="15">
        <f>VLOOKUP(B284,'Company X - SKU Master'!$A:$B,2,0)</f>
        <v>112</v>
      </c>
      <c r="E284" s="22">
        <f t="shared" si="1"/>
        <v>0.224</v>
      </c>
    </row>
    <row r="285">
      <c r="A285" s="19" t="s">
        <v>213</v>
      </c>
      <c r="B285" s="20">
        <v>8.904223818706E12</v>
      </c>
      <c r="C285" s="20" t="s">
        <v>494</v>
      </c>
      <c r="D285" s="15">
        <f>VLOOKUP(B285,'Company X - SKU Master'!$A:$B,2,0)</f>
        <v>127</v>
      </c>
      <c r="E285" s="22">
        <f t="shared" si="1"/>
        <v>0.127</v>
      </c>
    </row>
    <row r="286">
      <c r="A286" s="19" t="s">
        <v>213</v>
      </c>
      <c r="B286" s="20">
        <v>8.904223818942E12</v>
      </c>
      <c r="C286" s="20" t="s">
        <v>494</v>
      </c>
      <c r="D286" s="15">
        <f>VLOOKUP(B286,'Company X - SKU Master'!$A:$B,2,0)</f>
        <v>133</v>
      </c>
      <c r="E286" s="22">
        <f t="shared" si="1"/>
        <v>0.133</v>
      </c>
    </row>
    <row r="287">
      <c r="A287" s="19" t="s">
        <v>213</v>
      </c>
      <c r="B287" s="20">
        <v>8.90422381885E12</v>
      </c>
      <c r="C287" s="20" t="s">
        <v>494</v>
      </c>
      <c r="D287" s="15">
        <f>VLOOKUP(B287,'Company X - SKU Master'!$A:$B,2,0)</f>
        <v>240</v>
      </c>
      <c r="E287" s="22">
        <f t="shared" si="1"/>
        <v>0.24</v>
      </c>
    </row>
    <row r="288">
      <c r="A288" s="19" t="s">
        <v>205</v>
      </c>
      <c r="B288" s="20">
        <v>8.904223818997E12</v>
      </c>
      <c r="C288" s="20" t="s">
        <v>494</v>
      </c>
      <c r="D288" s="15">
        <f>VLOOKUP(B288,'Company X - SKU Master'!$A:$B,2,0)</f>
        <v>490</v>
      </c>
      <c r="E288" s="22">
        <f t="shared" si="1"/>
        <v>0.49</v>
      </c>
    </row>
    <row r="289">
      <c r="A289" s="19" t="s">
        <v>33</v>
      </c>
      <c r="B289" s="20">
        <v>8.904223818706E12</v>
      </c>
      <c r="C289" s="20" t="s">
        <v>494</v>
      </c>
      <c r="D289" s="15">
        <f>VLOOKUP(B289,'Company X - SKU Master'!$A:$B,2,0)</f>
        <v>127</v>
      </c>
      <c r="E289" s="22">
        <f t="shared" si="1"/>
        <v>0.127</v>
      </c>
    </row>
    <row r="290">
      <c r="A290" s="19" t="s">
        <v>33</v>
      </c>
      <c r="B290" s="20">
        <v>8.904223818942E12</v>
      </c>
      <c r="C290" s="20" t="s">
        <v>494</v>
      </c>
      <c r="D290" s="15">
        <f>VLOOKUP(B290,'Company X - SKU Master'!$A:$B,2,0)</f>
        <v>133</v>
      </c>
      <c r="E290" s="22">
        <f t="shared" si="1"/>
        <v>0.133</v>
      </c>
    </row>
    <row r="291">
      <c r="A291" s="19" t="s">
        <v>33</v>
      </c>
      <c r="B291" s="20">
        <v>8.90422381885E12</v>
      </c>
      <c r="C291" s="20" t="s">
        <v>494</v>
      </c>
      <c r="D291" s="15">
        <f>VLOOKUP(B291,'Company X - SKU Master'!$A:$B,2,0)</f>
        <v>240</v>
      </c>
      <c r="E291" s="22">
        <f t="shared" si="1"/>
        <v>0.24</v>
      </c>
    </row>
    <row r="292">
      <c r="A292" s="19" t="s">
        <v>135</v>
      </c>
      <c r="B292" s="20">
        <v>8.904223818706E12</v>
      </c>
      <c r="C292" s="20" t="s">
        <v>494</v>
      </c>
      <c r="D292" s="15">
        <f>VLOOKUP(B292,'Company X - SKU Master'!$A:$B,2,0)</f>
        <v>127</v>
      </c>
      <c r="E292" s="22">
        <f t="shared" si="1"/>
        <v>0.127</v>
      </c>
    </row>
    <row r="293">
      <c r="A293" s="19" t="s">
        <v>135</v>
      </c>
      <c r="B293" s="20">
        <v>8.90422381885E12</v>
      </c>
      <c r="C293" s="20" t="s">
        <v>494</v>
      </c>
      <c r="D293" s="15">
        <f>VLOOKUP(B293,'Company X - SKU Master'!$A:$B,2,0)</f>
        <v>240</v>
      </c>
      <c r="E293" s="22">
        <f t="shared" si="1"/>
        <v>0.24</v>
      </c>
    </row>
    <row r="294">
      <c r="A294" s="19" t="s">
        <v>135</v>
      </c>
      <c r="B294" s="20">
        <v>8.904223819468E12</v>
      </c>
      <c r="C294" s="20" t="s">
        <v>494</v>
      </c>
      <c r="D294" s="15">
        <f>VLOOKUP(B294,'Company X - SKU Master'!$A:$B,2,0)</f>
        <v>240</v>
      </c>
      <c r="E294" s="22">
        <f t="shared" si="1"/>
        <v>0.24</v>
      </c>
    </row>
    <row r="295">
      <c r="A295" s="19" t="s">
        <v>31</v>
      </c>
      <c r="B295" s="20">
        <v>8.904223818706E12</v>
      </c>
      <c r="C295" s="20" t="s">
        <v>494</v>
      </c>
      <c r="D295" s="15">
        <f>VLOOKUP(B295,'Company X - SKU Master'!$A:$B,2,0)</f>
        <v>127</v>
      </c>
      <c r="E295" s="22">
        <f t="shared" si="1"/>
        <v>0.127</v>
      </c>
    </row>
    <row r="296">
      <c r="A296" s="19" t="s">
        <v>31</v>
      </c>
      <c r="B296" s="20">
        <v>8.904223818942E12</v>
      </c>
      <c r="C296" s="20" t="s">
        <v>494</v>
      </c>
      <c r="D296" s="15">
        <f>VLOOKUP(B296,'Company X - SKU Master'!$A:$B,2,0)</f>
        <v>133</v>
      </c>
      <c r="E296" s="22">
        <f t="shared" si="1"/>
        <v>0.133</v>
      </c>
    </row>
    <row r="297">
      <c r="A297" s="19" t="s">
        <v>31</v>
      </c>
      <c r="B297" s="20">
        <v>8.90422381885E12</v>
      </c>
      <c r="C297" s="20" t="s">
        <v>494</v>
      </c>
      <c r="D297" s="15">
        <f>VLOOKUP(B297,'Company X - SKU Master'!$A:$B,2,0)</f>
        <v>240</v>
      </c>
      <c r="E297" s="22">
        <f t="shared" si="1"/>
        <v>0.24</v>
      </c>
    </row>
    <row r="298">
      <c r="A298" s="19" t="s">
        <v>121</v>
      </c>
      <c r="B298" s="20">
        <v>8.904223818706E12</v>
      </c>
      <c r="C298" s="20" t="s">
        <v>494</v>
      </c>
      <c r="D298" s="15">
        <f>VLOOKUP(B298,'Company X - SKU Master'!$A:$B,2,0)</f>
        <v>127</v>
      </c>
      <c r="E298" s="22">
        <f t="shared" si="1"/>
        <v>0.127</v>
      </c>
    </row>
    <row r="299">
      <c r="A299" s="19" t="s">
        <v>121</v>
      </c>
      <c r="B299" s="20">
        <v>8.904223818942E12</v>
      </c>
      <c r="C299" s="20" t="s">
        <v>494</v>
      </c>
      <c r="D299" s="15">
        <f>VLOOKUP(B299,'Company X - SKU Master'!$A:$B,2,0)</f>
        <v>133</v>
      </c>
      <c r="E299" s="22">
        <f t="shared" si="1"/>
        <v>0.133</v>
      </c>
    </row>
    <row r="300">
      <c r="A300" s="19" t="s">
        <v>121</v>
      </c>
      <c r="B300" s="20">
        <v>8.90422381885E12</v>
      </c>
      <c r="C300" s="20" t="s">
        <v>494</v>
      </c>
      <c r="D300" s="15">
        <f>VLOOKUP(B300,'Company X - SKU Master'!$A:$B,2,0)</f>
        <v>240</v>
      </c>
      <c r="E300" s="22">
        <f t="shared" si="1"/>
        <v>0.24</v>
      </c>
    </row>
    <row r="301">
      <c r="A301" s="19" t="s">
        <v>29</v>
      </c>
      <c r="B301" s="20">
        <v>8.904223819239E12</v>
      </c>
      <c r="C301" s="20" t="s">
        <v>494</v>
      </c>
      <c r="D301" s="15">
        <f>VLOOKUP(B301,'Company X - SKU Master'!$A:$B,2,0)</f>
        <v>290</v>
      </c>
      <c r="E301" s="22">
        <f t="shared" si="1"/>
        <v>0.29</v>
      </c>
    </row>
    <row r="302">
      <c r="A302" s="19" t="s">
        <v>29</v>
      </c>
      <c r="B302" s="20">
        <v>8.904223819246E12</v>
      </c>
      <c r="C302" s="20" t="s">
        <v>494</v>
      </c>
      <c r="D302" s="15">
        <f>VLOOKUP(B302,'Company X - SKU Master'!$A:$B,2,0)</f>
        <v>290</v>
      </c>
      <c r="E302" s="22">
        <f t="shared" si="1"/>
        <v>0.29</v>
      </c>
    </row>
    <row r="303">
      <c r="A303" s="19" t="s">
        <v>29</v>
      </c>
      <c r="B303" s="20">
        <v>8.904223819253E12</v>
      </c>
      <c r="C303" s="20" t="s">
        <v>494</v>
      </c>
      <c r="D303" s="15">
        <f>VLOOKUP(B303,'Company X - SKU Master'!$A:$B,2,0)</f>
        <v>290</v>
      </c>
      <c r="E303" s="22">
        <f t="shared" si="1"/>
        <v>0.29</v>
      </c>
    </row>
    <row r="304">
      <c r="A304" s="19" t="s">
        <v>29</v>
      </c>
      <c r="B304" s="20">
        <v>8.904223818713E12</v>
      </c>
      <c r="C304" s="20" t="s">
        <v>494</v>
      </c>
      <c r="D304" s="15">
        <f>VLOOKUP(B304,'Company X - SKU Master'!$A:$B,2,0)</f>
        <v>120</v>
      </c>
      <c r="E304" s="22">
        <f t="shared" si="1"/>
        <v>0.12</v>
      </c>
    </row>
    <row r="305">
      <c r="A305" s="19" t="s">
        <v>29</v>
      </c>
      <c r="B305" s="20">
        <v>8.904223817273E12</v>
      </c>
      <c r="C305" s="20" t="s">
        <v>494</v>
      </c>
      <c r="D305" s="15">
        <f>VLOOKUP(B305,'Company X - SKU Master'!$A:$B,2,0)</f>
        <v>65</v>
      </c>
      <c r="E305" s="22">
        <f t="shared" si="1"/>
        <v>0.065</v>
      </c>
    </row>
    <row r="306">
      <c r="A306" s="19" t="s">
        <v>29</v>
      </c>
      <c r="B306" s="20">
        <v>8.904223818751E12</v>
      </c>
      <c r="C306" s="20" t="s">
        <v>494</v>
      </c>
      <c r="D306" s="15">
        <f>VLOOKUP(B306,'Company X - SKU Master'!$A:$B,2,0)</f>
        <v>113</v>
      </c>
      <c r="E306" s="22">
        <f t="shared" si="1"/>
        <v>0.113</v>
      </c>
    </row>
    <row r="307">
      <c r="A307" s="19" t="s">
        <v>119</v>
      </c>
      <c r="B307" s="20">
        <v>8.904223819291E12</v>
      </c>
      <c r="C307" s="20" t="s">
        <v>498</v>
      </c>
      <c r="D307" s="15">
        <f>VLOOKUP(B307,'Company X - SKU Master'!$A:$B,2,0)</f>
        <v>112</v>
      </c>
      <c r="E307" s="22">
        <f t="shared" si="1"/>
        <v>0.448</v>
      </c>
    </row>
    <row r="308">
      <c r="A308" s="19" t="s">
        <v>119</v>
      </c>
      <c r="B308" s="20">
        <v>8.904223819031E12</v>
      </c>
      <c r="C308" s="20" t="s">
        <v>498</v>
      </c>
      <c r="D308" s="15">
        <f>VLOOKUP(B308,'Company X - SKU Master'!$A:$B,2,0)</f>
        <v>112</v>
      </c>
      <c r="E308" s="22">
        <f t="shared" si="1"/>
        <v>0.448</v>
      </c>
    </row>
    <row r="309">
      <c r="A309" s="19" t="s">
        <v>119</v>
      </c>
      <c r="B309" s="20">
        <v>8.904223819024E12</v>
      </c>
      <c r="C309" s="20" t="s">
        <v>498</v>
      </c>
      <c r="D309" s="15">
        <f>VLOOKUP(B309,'Company X - SKU Master'!$A:$B,2,0)</f>
        <v>112</v>
      </c>
      <c r="E309" s="22">
        <f t="shared" si="1"/>
        <v>0.448</v>
      </c>
    </row>
    <row r="310">
      <c r="A310" s="19" t="s">
        <v>119</v>
      </c>
      <c r="B310" s="20">
        <v>8.904223819017E12</v>
      </c>
      <c r="C310" s="20" t="s">
        <v>494</v>
      </c>
      <c r="D310" s="15">
        <f>VLOOKUP(B310,'Company X - SKU Master'!$A:$B,2,0)</f>
        <v>115</v>
      </c>
      <c r="E310" s="22">
        <f t="shared" si="1"/>
        <v>0.115</v>
      </c>
    </row>
    <row r="311">
      <c r="A311" s="19" t="s">
        <v>23</v>
      </c>
      <c r="B311" s="20">
        <v>8.904223819468E12</v>
      </c>
      <c r="C311" s="20" t="s">
        <v>494</v>
      </c>
      <c r="D311" s="15">
        <f>VLOOKUP(B311,'Company X - SKU Master'!$A:$B,2,0)</f>
        <v>240</v>
      </c>
      <c r="E311" s="22">
        <f t="shared" si="1"/>
        <v>0.24</v>
      </c>
    </row>
    <row r="312">
      <c r="A312" s="19" t="s">
        <v>117</v>
      </c>
      <c r="B312" s="20">
        <v>8.904223818706E12</v>
      </c>
      <c r="C312" s="20" t="s">
        <v>494</v>
      </c>
      <c r="D312" s="15">
        <f>VLOOKUP(B312,'Company X - SKU Master'!$A:$B,2,0)</f>
        <v>127</v>
      </c>
      <c r="E312" s="22">
        <f t="shared" si="1"/>
        <v>0.127</v>
      </c>
    </row>
    <row r="313">
      <c r="A313" s="19" t="s">
        <v>117</v>
      </c>
      <c r="B313" s="20">
        <v>8.904223818942E12</v>
      </c>
      <c r="C313" s="20" t="s">
        <v>494</v>
      </c>
      <c r="D313" s="15">
        <f>VLOOKUP(B313,'Company X - SKU Master'!$A:$B,2,0)</f>
        <v>133</v>
      </c>
      <c r="E313" s="22">
        <f t="shared" si="1"/>
        <v>0.133</v>
      </c>
    </row>
    <row r="314">
      <c r="A314" s="19" t="s">
        <v>117</v>
      </c>
      <c r="B314" s="20">
        <v>8.90422381885E12</v>
      </c>
      <c r="C314" s="20" t="s">
        <v>494</v>
      </c>
      <c r="D314" s="15">
        <f>VLOOKUP(B314,'Company X - SKU Master'!$A:$B,2,0)</f>
        <v>240</v>
      </c>
      <c r="E314" s="22">
        <f t="shared" si="1"/>
        <v>0.24</v>
      </c>
    </row>
    <row r="315">
      <c r="A315" s="19" t="s">
        <v>203</v>
      </c>
      <c r="B315" s="20">
        <v>8.904223818706E12</v>
      </c>
      <c r="C315" s="20" t="s">
        <v>494</v>
      </c>
      <c r="D315" s="15">
        <f>VLOOKUP(B315,'Company X - SKU Master'!$A:$B,2,0)</f>
        <v>127</v>
      </c>
      <c r="E315" s="22">
        <f t="shared" si="1"/>
        <v>0.127</v>
      </c>
    </row>
    <row r="316">
      <c r="A316" s="19" t="s">
        <v>203</v>
      </c>
      <c r="B316" s="20">
        <v>8.904223818942E12</v>
      </c>
      <c r="C316" s="20" t="s">
        <v>494</v>
      </c>
      <c r="D316" s="15">
        <f>VLOOKUP(B316,'Company X - SKU Master'!$A:$B,2,0)</f>
        <v>133</v>
      </c>
      <c r="E316" s="22">
        <f t="shared" si="1"/>
        <v>0.133</v>
      </c>
    </row>
    <row r="317">
      <c r="A317" s="19" t="s">
        <v>203</v>
      </c>
      <c r="B317" s="20">
        <v>8.90422381885E12</v>
      </c>
      <c r="C317" s="20" t="s">
        <v>494</v>
      </c>
      <c r="D317" s="15">
        <f>VLOOKUP(B317,'Company X - SKU Master'!$A:$B,2,0)</f>
        <v>240</v>
      </c>
      <c r="E317" s="22">
        <f t="shared" si="1"/>
        <v>0.24</v>
      </c>
    </row>
    <row r="318">
      <c r="A318" s="19" t="s">
        <v>27</v>
      </c>
      <c r="B318" s="20">
        <v>8.904223819499E12</v>
      </c>
      <c r="C318" s="20" t="s">
        <v>496</v>
      </c>
      <c r="D318" s="15">
        <f>VLOOKUP(B318,'Company X - SKU Master'!$A:$B,2,0)</f>
        <v>210</v>
      </c>
      <c r="E318" s="22">
        <f t="shared" si="1"/>
        <v>0.42</v>
      </c>
    </row>
    <row r="319">
      <c r="A319" s="19" t="s">
        <v>27</v>
      </c>
      <c r="B319" s="20">
        <v>8.904223819499E12</v>
      </c>
      <c r="C319" s="20" t="s">
        <v>496</v>
      </c>
      <c r="D319" s="15">
        <f>VLOOKUP(B319,'Company X - SKU Master'!$A:$B,2,0)</f>
        <v>210</v>
      </c>
      <c r="E319" s="22">
        <f t="shared" si="1"/>
        <v>0.42</v>
      </c>
    </row>
    <row r="320">
      <c r="A320" s="19" t="s">
        <v>201</v>
      </c>
      <c r="B320" s="20">
        <v>8.904223818706E12</v>
      </c>
      <c r="C320" s="20" t="s">
        <v>494</v>
      </c>
      <c r="D320" s="15">
        <f>VLOOKUP(B320,'Company X - SKU Master'!$A:$B,2,0)</f>
        <v>127</v>
      </c>
      <c r="E320" s="22">
        <f t="shared" si="1"/>
        <v>0.127</v>
      </c>
    </row>
    <row r="321">
      <c r="A321" s="19" t="s">
        <v>201</v>
      </c>
      <c r="B321" s="20">
        <v>8.904223818942E12</v>
      </c>
      <c r="C321" s="20" t="s">
        <v>494</v>
      </c>
      <c r="D321" s="15">
        <f>VLOOKUP(B321,'Company X - SKU Master'!$A:$B,2,0)</f>
        <v>133</v>
      </c>
      <c r="E321" s="22">
        <f t="shared" si="1"/>
        <v>0.133</v>
      </c>
    </row>
    <row r="322">
      <c r="A322" s="19" t="s">
        <v>201</v>
      </c>
      <c r="B322" s="20">
        <v>8.90422381885E12</v>
      </c>
      <c r="C322" s="20" t="s">
        <v>494</v>
      </c>
      <c r="D322" s="15">
        <f>VLOOKUP(B322,'Company X - SKU Master'!$A:$B,2,0)</f>
        <v>240</v>
      </c>
      <c r="E322" s="22">
        <f t="shared" si="1"/>
        <v>0.24</v>
      </c>
    </row>
    <row r="323">
      <c r="A323" s="19" t="s">
        <v>199</v>
      </c>
      <c r="B323" s="20">
        <v>8.904223818706E12</v>
      </c>
      <c r="C323" s="20" t="s">
        <v>494</v>
      </c>
      <c r="D323" s="15">
        <f>VLOOKUP(B323,'Company X - SKU Master'!$A:$B,2,0)</f>
        <v>127</v>
      </c>
      <c r="E323" s="22">
        <f t="shared" si="1"/>
        <v>0.127</v>
      </c>
    </row>
    <row r="324">
      <c r="A324" s="19" t="s">
        <v>115</v>
      </c>
      <c r="B324" s="20">
        <v>8.90422381885E12</v>
      </c>
      <c r="C324" s="20" t="s">
        <v>494</v>
      </c>
      <c r="D324" s="15">
        <f>VLOOKUP(B324,'Company X - SKU Master'!$A:$B,2,0)</f>
        <v>240</v>
      </c>
      <c r="E324" s="22">
        <f t="shared" si="1"/>
        <v>0.24</v>
      </c>
    </row>
    <row r="325">
      <c r="A325" s="19" t="s">
        <v>115</v>
      </c>
      <c r="B325" s="20">
        <v>8.904223818683E12</v>
      </c>
      <c r="C325" s="20" t="s">
        <v>494</v>
      </c>
      <c r="D325" s="15">
        <f>VLOOKUP(B325,'Company X - SKU Master'!$A:$B,2,0)</f>
        <v>121</v>
      </c>
      <c r="E325" s="22">
        <f t="shared" si="1"/>
        <v>0.121</v>
      </c>
    </row>
    <row r="326">
      <c r="A326" s="19" t="s">
        <v>113</v>
      </c>
      <c r="B326" s="20">
        <v>8.904223818706E12</v>
      </c>
      <c r="C326" s="20" t="s">
        <v>494</v>
      </c>
      <c r="D326" s="15">
        <f>VLOOKUP(B326,'Company X - SKU Master'!$A:$B,2,0)</f>
        <v>127</v>
      </c>
      <c r="E326" s="22">
        <f t="shared" si="1"/>
        <v>0.127</v>
      </c>
    </row>
    <row r="327">
      <c r="A327" s="19" t="s">
        <v>113</v>
      </c>
      <c r="B327" s="20">
        <v>8.904223818638E12</v>
      </c>
      <c r="C327" s="20" t="s">
        <v>496</v>
      </c>
      <c r="D327" s="15">
        <f>VLOOKUP(B327,'Company X - SKU Master'!$A:$B,2,0)</f>
        <v>137</v>
      </c>
      <c r="E327" s="22">
        <f t="shared" si="1"/>
        <v>0.274</v>
      </c>
    </row>
    <row r="328">
      <c r="A328" s="19" t="s">
        <v>113</v>
      </c>
      <c r="B328" s="20">
        <v>8.904223819505E12</v>
      </c>
      <c r="C328" s="20" t="s">
        <v>494</v>
      </c>
      <c r="D328" s="15">
        <f>VLOOKUP(B328,'Company X - SKU Master'!$A:$B,2,0)</f>
        <v>210</v>
      </c>
      <c r="E328" s="22">
        <f t="shared" si="1"/>
        <v>0.21</v>
      </c>
    </row>
    <row r="329">
      <c r="A329" s="19" t="s">
        <v>197</v>
      </c>
      <c r="B329" s="20">
        <v>8.904223819512E12</v>
      </c>
      <c r="C329" s="20" t="s">
        <v>498</v>
      </c>
      <c r="D329" s="15">
        <f>VLOOKUP(B329,'Company X - SKU Master'!$A:$B,2,0)</f>
        <v>210</v>
      </c>
      <c r="E329" s="22">
        <f t="shared" si="1"/>
        <v>0.84</v>
      </c>
    </row>
    <row r="330">
      <c r="A330" s="19" t="s">
        <v>109</v>
      </c>
      <c r="B330" s="20">
        <v>8.904223818706E12</v>
      </c>
      <c r="C330" s="20" t="s">
        <v>494</v>
      </c>
      <c r="D330" s="15">
        <f>VLOOKUP(B330,'Company X - SKU Master'!$A:$B,2,0)</f>
        <v>127</v>
      </c>
      <c r="E330" s="22">
        <f t="shared" si="1"/>
        <v>0.127</v>
      </c>
    </row>
    <row r="331">
      <c r="A331" s="19" t="s">
        <v>109</v>
      </c>
      <c r="B331" s="20">
        <v>8.904223818942E12</v>
      </c>
      <c r="C331" s="20" t="s">
        <v>494</v>
      </c>
      <c r="D331" s="15">
        <f>VLOOKUP(B331,'Company X - SKU Master'!$A:$B,2,0)</f>
        <v>133</v>
      </c>
      <c r="E331" s="22">
        <f t="shared" si="1"/>
        <v>0.133</v>
      </c>
    </row>
    <row r="332">
      <c r="A332" s="19" t="s">
        <v>109</v>
      </c>
      <c r="B332" s="20">
        <v>8.90422381885E12</v>
      </c>
      <c r="C332" s="20" t="s">
        <v>494</v>
      </c>
      <c r="D332" s="15">
        <f>VLOOKUP(B332,'Company X - SKU Master'!$A:$B,2,0)</f>
        <v>240</v>
      </c>
      <c r="E332" s="22">
        <f t="shared" si="1"/>
        <v>0.24</v>
      </c>
    </row>
    <row r="333">
      <c r="A333" s="19" t="s">
        <v>107</v>
      </c>
      <c r="B333" s="20">
        <v>8.904223819031E12</v>
      </c>
      <c r="C333" s="20" t="s">
        <v>494</v>
      </c>
      <c r="D333" s="15">
        <f>VLOOKUP(B333,'Company X - SKU Master'!$A:$B,2,0)</f>
        <v>112</v>
      </c>
      <c r="E333" s="22">
        <f t="shared" si="1"/>
        <v>0.112</v>
      </c>
    </row>
    <row r="334">
      <c r="A334" s="19" t="s">
        <v>107</v>
      </c>
      <c r="B334" s="20">
        <v>8.90422381843E12</v>
      </c>
      <c r="C334" s="20" t="s">
        <v>494</v>
      </c>
      <c r="D334" s="15">
        <f>VLOOKUP(B334,'Company X - SKU Master'!$A:$B,2,0)</f>
        <v>165</v>
      </c>
      <c r="E334" s="22">
        <f t="shared" si="1"/>
        <v>0.165</v>
      </c>
    </row>
    <row r="335">
      <c r="A335" s="19" t="s">
        <v>107</v>
      </c>
      <c r="B335" s="20">
        <v>8.90422381885E12</v>
      </c>
      <c r="C335" s="20" t="s">
        <v>494</v>
      </c>
      <c r="D335" s="15">
        <f>VLOOKUP(B335,'Company X - SKU Master'!$A:$B,2,0)</f>
        <v>240</v>
      </c>
      <c r="E335" s="22">
        <f t="shared" si="1"/>
        <v>0.24</v>
      </c>
    </row>
    <row r="336">
      <c r="A336" s="19" t="s">
        <v>107</v>
      </c>
      <c r="B336" s="20">
        <v>8.904223819512E12</v>
      </c>
      <c r="C336" s="20" t="s">
        <v>494</v>
      </c>
      <c r="D336" s="15">
        <f>VLOOKUP(B336,'Company X - SKU Master'!$A:$B,2,0)</f>
        <v>210</v>
      </c>
      <c r="E336" s="22">
        <f t="shared" si="1"/>
        <v>0.21</v>
      </c>
    </row>
    <row r="337">
      <c r="A337" s="19" t="s">
        <v>107</v>
      </c>
      <c r="B337" s="20">
        <v>8.904223819468E12</v>
      </c>
      <c r="C337" s="20" t="s">
        <v>494</v>
      </c>
      <c r="D337" s="15">
        <f>VLOOKUP(B337,'Company X - SKU Master'!$A:$B,2,0)</f>
        <v>240</v>
      </c>
      <c r="E337" s="22">
        <f t="shared" si="1"/>
        <v>0.24</v>
      </c>
    </row>
    <row r="338">
      <c r="A338" s="19" t="s">
        <v>111</v>
      </c>
      <c r="B338" s="20">
        <v>8.904223818706E12</v>
      </c>
      <c r="C338" s="20" t="s">
        <v>494</v>
      </c>
      <c r="D338" s="15">
        <f>VLOOKUP(B338,'Company X - SKU Master'!$A:$B,2,0)</f>
        <v>127</v>
      </c>
      <c r="E338" s="22">
        <f t="shared" si="1"/>
        <v>0.127</v>
      </c>
    </row>
    <row r="339">
      <c r="A339" s="19" t="s">
        <v>111</v>
      </c>
      <c r="B339" s="20">
        <v>8.904223818942E12</v>
      </c>
      <c r="C339" s="20" t="s">
        <v>494</v>
      </c>
      <c r="D339" s="15">
        <f>VLOOKUP(B339,'Company X - SKU Master'!$A:$B,2,0)</f>
        <v>133</v>
      </c>
      <c r="E339" s="22">
        <f t="shared" si="1"/>
        <v>0.133</v>
      </c>
    </row>
    <row r="340">
      <c r="A340" s="19" t="s">
        <v>111</v>
      </c>
      <c r="B340" s="20">
        <v>8.90422381885E12</v>
      </c>
      <c r="C340" s="20" t="s">
        <v>494</v>
      </c>
      <c r="D340" s="15">
        <f>VLOOKUP(B340,'Company X - SKU Master'!$A:$B,2,0)</f>
        <v>240</v>
      </c>
      <c r="E340" s="22">
        <f t="shared" si="1"/>
        <v>0.24</v>
      </c>
    </row>
    <row r="341">
      <c r="A341" s="19" t="s">
        <v>25</v>
      </c>
      <c r="B341" s="20">
        <v>8.904223819468E12</v>
      </c>
      <c r="C341" s="20" t="s">
        <v>494</v>
      </c>
      <c r="D341" s="15">
        <f>VLOOKUP(B341,'Company X - SKU Master'!$A:$B,2,0)</f>
        <v>240</v>
      </c>
      <c r="E341" s="22">
        <f t="shared" si="1"/>
        <v>0.24</v>
      </c>
    </row>
    <row r="342">
      <c r="A342" s="19" t="s">
        <v>105</v>
      </c>
      <c r="B342" s="20">
        <v>8.904223818706E12</v>
      </c>
      <c r="C342" s="20" t="s">
        <v>494</v>
      </c>
      <c r="D342" s="15">
        <f>VLOOKUP(B342,'Company X - SKU Master'!$A:$B,2,0)</f>
        <v>127</v>
      </c>
      <c r="E342" s="22">
        <f t="shared" si="1"/>
        <v>0.127</v>
      </c>
    </row>
    <row r="343">
      <c r="A343" s="19" t="s">
        <v>105</v>
      </c>
      <c r="B343" s="20">
        <v>8.904223818942E12</v>
      </c>
      <c r="C343" s="20" t="s">
        <v>494</v>
      </c>
      <c r="D343" s="15">
        <f>VLOOKUP(B343,'Company X - SKU Master'!$A:$B,2,0)</f>
        <v>133</v>
      </c>
      <c r="E343" s="22">
        <f t="shared" si="1"/>
        <v>0.133</v>
      </c>
    </row>
    <row r="344">
      <c r="A344" s="19" t="s">
        <v>105</v>
      </c>
      <c r="B344" s="20">
        <v>8.90422381885E12</v>
      </c>
      <c r="C344" s="20" t="s">
        <v>494</v>
      </c>
      <c r="D344" s="15">
        <f>VLOOKUP(B344,'Company X - SKU Master'!$A:$B,2,0)</f>
        <v>240</v>
      </c>
      <c r="E344" s="22">
        <f t="shared" si="1"/>
        <v>0.24</v>
      </c>
    </row>
    <row r="345">
      <c r="A345" s="19" t="s">
        <v>103</v>
      </c>
      <c r="B345" s="20">
        <v>8.904223818669E12</v>
      </c>
      <c r="C345" s="20" t="s">
        <v>494</v>
      </c>
      <c r="D345" s="15">
        <f>VLOOKUP(B345,'Company X - SKU Master'!$A:$B,2,0)</f>
        <v>240</v>
      </c>
      <c r="E345" s="22">
        <f t="shared" si="1"/>
        <v>0.24</v>
      </c>
    </row>
    <row r="346">
      <c r="A346" s="19" t="s">
        <v>103</v>
      </c>
      <c r="B346" s="20">
        <v>8.904223818683E12</v>
      </c>
      <c r="C346" s="20" t="s">
        <v>494</v>
      </c>
      <c r="D346" s="15">
        <f>VLOOKUP(B346,'Company X - SKU Master'!$A:$B,2,0)</f>
        <v>121</v>
      </c>
      <c r="E346" s="22">
        <f t="shared" si="1"/>
        <v>0.121</v>
      </c>
    </row>
    <row r="347">
      <c r="A347" s="19" t="s">
        <v>103</v>
      </c>
      <c r="B347" s="20">
        <v>8.904223818935E12</v>
      </c>
      <c r="C347" s="20" t="s">
        <v>494</v>
      </c>
      <c r="D347" s="15">
        <f>VLOOKUP(B347,'Company X - SKU Master'!$A:$B,2,0)</f>
        <v>120</v>
      </c>
      <c r="E347" s="22">
        <f t="shared" si="1"/>
        <v>0.12</v>
      </c>
    </row>
    <row r="348">
      <c r="A348" s="19" t="s">
        <v>103</v>
      </c>
      <c r="B348" s="20">
        <v>8.904223818713E12</v>
      </c>
      <c r="C348" s="20" t="s">
        <v>494</v>
      </c>
      <c r="D348" s="15">
        <f>VLOOKUP(B348,'Company X - SKU Master'!$A:$B,2,0)</f>
        <v>120</v>
      </c>
      <c r="E348" s="22">
        <f t="shared" si="1"/>
        <v>0.12</v>
      </c>
    </row>
    <row r="349">
      <c r="A349" s="19" t="s">
        <v>103</v>
      </c>
      <c r="B349" s="20">
        <v>8.904223819024E12</v>
      </c>
      <c r="C349" s="20" t="s">
        <v>494</v>
      </c>
      <c r="D349" s="15">
        <f>VLOOKUP(B349,'Company X - SKU Master'!$A:$B,2,0)</f>
        <v>112</v>
      </c>
      <c r="E349" s="22">
        <f t="shared" si="1"/>
        <v>0.112</v>
      </c>
    </row>
    <row r="350">
      <c r="A350" s="19" t="s">
        <v>103</v>
      </c>
      <c r="B350" s="20">
        <v>8.904223819123E12</v>
      </c>
      <c r="C350" s="20" t="s">
        <v>494</v>
      </c>
      <c r="D350" s="15">
        <f>VLOOKUP(B350,'Company X - SKU Master'!$A:$B,2,0)</f>
        <v>250</v>
      </c>
      <c r="E350" s="22">
        <f t="shared" si="1"/>
        <v>0.25</v>
      </c>
    </row>
    <row r="351">
      <c r="A351" s="19" t="s">
        <v>101</v>
      </c>
      <c r="B351" s="20">
        <v>8.904223818706E12</v>
      </c>
      <c r="C351" s="20" t="s">
        <v>494</v>
      </c>
      <c r="D351" s="15">
        <f>VLOOKUP(B351,'Company X - SKU Master'!$A:$B,2,0)</f>
        <v>127</v>
      </c>
      <c r="E351" s="22">
        <f t="shared" si="1"/>
        <v>0.127</v>
      </c>
    </row>
    <row r="352">
      <c r="A352" s="19" t="s">
        <v>101</v>
      </c>
      <c r="B352" s="20">
        <v>8.904223818942E12</v>
      </c>
      <c r="C352" s="20" t="s">
        <v>494</v>
      </c>
      <c r="D352" s="15">
        <f>VLOOKUP(B352,'Company X - SKU Master'!$A:$B,2,0)</f>
        <v>133</v>
      </c>
      <c r="E352" s="22">
        <f t="shared" si="1"/>
        <v>0.133</v>
      </c>
    </row>
    <row r="353">
      <c r="A353" s="19" t="s">
        <v>101</v>
      </c>
      <c r="B353" s="20">
        <v>8.90422381885E12</v>
      </c>
      <c r="C353" s="20" t="s">
        <v>494</v>
      </c>
      <c r="D353" s="15">
        <f>VLOOKUP(B353,'Company X - SKU Master'!$A:$B,2,0)</f>
        <v>240</v>
      </c>
      <c r="E353" s="22">
        <f t="shared" si="1"/>
        <v>0.24</v>
      </c>
    </row>
    <row r="354">
      <c r="A354" s="19" t="s">
        <v>99</v>
      </c>
      <c r="B354" s="20">
        <v>8.904223818591E12</v>
      </c>
      <c r="C354" s="20" t="s">
        <v>494</v>
      </c>
      <c r="D354" s="15">
        <f>VLOOKUP(B354,'Company X - SKU Master'!$A:$B,2,0)</f>
        <v>120</v>
      </c>
      <c r="E354" s="22">
        <f t="shared" si="1"/>
        <v>0.12</v>
      </c>
    </row>
    <row r="355">
      <c r="A355" s="19" t="s">
        <v>99</v>
      </c>
      <c r="B355" s="20">
        <v>8.904223816214E12</v>
      </c>
      <c r="C355" s="20" t="s">
        <v>494</v>
      </c>
      <c r="D355" s="15">
        <f>VLOOKUP(B355,'Company X - SKU Master'!$A:$B,2,0)</f>
        <v>120</v>
      </c>
      <c r="E355" s="22">
        <f t="shared" si="1"/>
        <v>0.12</v>
      </c>
    </row>
    <row r="356">
      <c r="A356" s="19" t="s">
        <v>99</v>
      </c>
      <c r="B356" s="20">
        <v>8.904223819024E12</v>
      </c>
      <c r="C356" s="20" t="s">
        <v>494</v>
      </c>
      <c r="D356" s="15">
        <f>VLOOKUP(B356,'Company X - SKU Master'!$A:$B,2,0)</f>
        <v>112</v>
      </c>
      <c r="E356" s="22">
        <f t="shared" si="1"/>
        <v>0.112</v>
      </c>
    </row>
    <row r="357">
      <c r="A357" s="19" t="s">
        <v>99</v>
      </c>
      <c r="B357" s="20">
        <v>8.904223819253E12</v>
      </c>
      <c r="C357" s="20" t="s">
        <v>494</v>
      </c>
      <c r="D357" s="15">
        <f>VLOOKUP(B357,'Company X - SKU Master'!$A:$B,2,0)</f>
        <v>290</v>
      </c>
      <c r="E357" s="22">
        <f t="shared" si="1"/>
        <v>0.29</v>
      </c>
    </row>
    <row r="358">
      <c r="A358" s="19" t="s">
        <v>99</v>
      </c>
      <c r="B358" s="20">
        <v>8.904223815804E12</v>
      </c>
      <c r="C358" s="20" t="s">
        <v>494</v>
      </c>
      <c r="D358" s="15">
        <f>VLOOKUP(B358,'Company X - SKU Master'!$A:$B,2,0)</f>
        <v>160</v>
      </c>
      <c r="E358" s="22">
        <f t="shared" si="1"/>
        <v>0.16</v>
      </c>
    </row>
    <row r="359">
      <c r="A359" s="19" t="s">
        <v>99</v>
      </c>
      <c r="B359" s="20">
        <v>8.904223818577E12</v>
      </c>
      <c r="C359" s="20" t="s">
        <v>494</v>
      </c>
      <c r="D359" s="15">
        <f>VLOOKUP(B359,'Company X - SKU Master'!$A:$B,2,0)</f>
        <v>150</v>
      </c>
      <c r="E359" s="22">
        <f t="shared" si="1"/>
        <v>0.15</v>
      </c>
    </row>
    <row r="360">
      <c r="A360" s="19" t="s">
        <v>97</v>
      </c>
      <c r="B360" s="20">
        <v>8.904223818706E12</v>
      </c>
      <c r="C360" s="20" t="s">
        <v>494</v>
      </c>
      <c r="D360" s="15">
        <f>VLOOKUP(B360,'Company X - SKU Master'!$A:$B,2,0)</f>
        <v>127</v>
      </c>
      <c r="E360" s="22">
        <f t="shared" si="1"/>
        <v>0.127</v>
      </c>
    </row>
    <row r="361">
      <c r="A361" s="19" t="s">
        <v>95</v>
      </c>
      <c r="B361" s="20">
        <v>8.904223818706E12</v>
      </c>
      <c r="C361" s="20" t="s">
        <v>494</v>
      </c>
      <c r="D361" s="15">
        <f>VLOOKUP(B361,'Company X - SKU Master'!$A:$B,2,0)</f>
        <v>127</v>
      </c>
      <c r="E361" s="22">
        <f t="shared" si="1"/>
        <v>0.127</v>
      </c>
    </row>
    <row r="362">
      <c r="A362" s="19" t="s">
        <v>95</v>
      </c>
      <c r="B362" s="20">
        <v>8.904223818942E12</v>
      </c>
      <c r="C362" s="20" t="s">
        <v>494</v>
      </c>
      <c r="D362" s="15">
        <f>VLOOKUP(B362,'Company X - SKU Master'!$A:$B,2,0)</f>
        <v>133</v>
      </c>
      <c r="E362" s="22">
        <f t="shared" si="1"/>
        <v>0.133</v>
      </c>
    </row>
    <row r="363">
      <c r="A363" s="19" t="s">
        <v>95</v>
      </c>
      <c r="B363" s="20">
        <v>8.90422381885E12</v>
      </c>
      <c r="C363" s="20" t="s">
        <v>494</v>
      </c>
      <c r="D363" s="15">
        <f>VLOOKUP(B363,'Company X - SKU Master'!$A:$B,2,0)</f>
        <v>240</v>
      </c>
      <c r="E363" s="22">
        <f t="shared" si="1"/>
        <v>0.24</v>
      </c>
    </row>
    <row r="364">
      <c r="A364" s="19" t="s">
        <v>133</v>
      </c>
      <c r="B364" s="20">
        <v>8.904223818706E12</v>
      </c>
      <c r="C364" s="20" t="s">
        <v>496</v>
      </c>
      <c r="D364" s="15">
        <f>VLOOKUP(B364,'Company X - SKU Master'!$A:$B,2,0)</f>
        <v>127</v>
      </c>
      <c r="E364" s="22">
        <f t="shared" si="1"/>
        <v>0.254</v>
      </c>
    </row>
    <row r="365">
      <c r="A365" s="19" t="s">
        <v>133</v>
      </c>
      <c r="B365" s="20">
        <v>8.904223818942E12</v>
      </c>
      <c r="C365" s="20" t="s">
        <v>496</v>
      </c>
      <c r="D365" s="15">
        <f>VLOOKUP(B365,'Company X - SKU Master'!$A:$B,2,0)</f>
        <v>133</v>
      </c>
      <c r="E365" s="22">
        <f t="shared" si="1"/>
        <v>0.266</v>
      </c>
    </row>
    <row r="366">
      <c r="A366" s="19" t="s">
        <v>133</v>
      </c>
      <c r="B366" s="20">
        <v>8.90422381885E12</v>
      </c>
      <c r="C366" s="20" t="s">
        <v>496</v>
      </c>
      <c r="D366" s="15">
        <f>VLOOKUP(B366,'Company X - SKU Master'!$A:$B,2,0)</f>
        <v>240</v>
      </c>
      <c r="E366" s="22">
        <f t="shared" si="1"/>
        <v>0.48</v>
      </c>
    </row>
    <row r="367">
      <c r="A367" s="19" t="s">
        <v>133</v>
      </c>
      <c r="B367" s="20">
        <v>8.904223818706E12</v>
      </c>
      <c r="C367" s="20" t="s">
        <v>494</v>
      </c>
      <c r="D367" s="15">
        <f>VLOOKUP(B367,'Company X - SKU Master'!$A:$B,2,0)</f>
        <v>127</v>
      </c>
      <c r="E367" s="22">
        <f t="shared" si="1"/>
        <v>0.127</v>
      </c>
    </row>
    <row r="368">
      <c r="A368" s="19" t="s">
        <v>133</v>
      </c>
      <c r="B368" s="20">
        <v>8.904223818942E12</v>
      </c>
      <c r="C368" s="20" t="s">
        <v>494</v>
      </c>
      <c r="D368" s="15">
        <f>VLOOKUP(B368,'Company X - SKU Master'!$A:$B,2,0)</f>
        <v>133</v>
      </c>
      <c r="E368" s="22">
        <f t="shared" si="1"/>
        <v>0.133</v>
      </c>
    </row>
    <row r="369">
      <c r="A369" s="19" t="s">
        <v>133</v>
      </c>
      <c r="B369" s="20">
        <v>8.90422381885E12</v>
      </c>
      <c r="C369" s="20" t="s">
        <v>494</v>
      </c>
      <c r="D369" s="15">
        <f>VLOOKUP(B369,'Company X - SKU Master'!$A:$B,2,0)</f>
        <v>240</v>
      </c>
      <c r="E369" s="22">
        <f t="shared" si="1"/>
        <v>0.24</v>
      </c>
    </row>
    <row r="370">
      <c r="A370" s="19" t="s">
        <v>133</v>
      </c>
      <c r="B370" s="20">
        <v>8.904223818683E12</v>
      </c>
      <c r="C370" s="20" t="s">
        <v>494</v>
      </c>
      <c r="D370" s="15">
        <f>VLOOKUP(B370,'Company X - SKU Master'!$A:$B,2,0)</f>
        <v>121</v>
      </c>
      <c r="E370" s="22">
        <f t="shared" si="1"/>
        <v>0.121</v>
      </c>
    </row>
    <row r="371">
      <c r="A371" s="19" t="s">
        <v>21</v>
      </c>
      <c r="B371" s="20">
        <v>8.904223819284E12</v>
      </c>
      <c r="C371" s="20" t="s">
        <v>494</v>
      </c>
      <c r="D371" s="15">
        <f>VLOOKUP(B371,'Company X - SKU Master'!$A:$B,2,0)</f>
        <v>350</v>
      </c>
      <c r="E371" s="22">
        <f t="shared" si="1"/>
        <v>0.35</v>
      </c>
    </row>
    <row r="372">
      <c r="A372" s="19" t="s">
        <v>21</v>
      </c>
      <c r="B372" s="20">
        <v>8.904223818478E12</v>
      </c>
      <c r="C372" s="20" t="s">
        <v>494</v>
      </c>
      <c r="D372" s="15">
        <f>VLOOKUP(B372,'Company X - SKU Master'!$A:$B,2,0)</f>
        <v>350</v>
      </c>
      <c r="E372" s="22">
        <f t="shared" si="1"/>
        <v>0.35</v>
      </c>
    </row>
    <row r="373">
      <c r="A373" s="19" t="s">
        <v>93</v>
      </c>
      <c r="B373" s="20">
        <v>8.904223818706E12</v>
      </c>
      <c r="C373" s="20" t="s">
        <v>494</v>
      </c>
      <c r="D373" s="15">
        <f>VLOOKUP(B373,'Company X - SKU Master'!$A:$B,2,0)</f>
        <v>127</v>
      </c>
      <c r="E373" s="22">
        <f t="shared" si="1"/>
        <v>0.127</v>
      </c>
    </row>
    <row r="374">
      <c r="A374" s="19" t="s">
        <v>93</v>
      </c>
      <c r="B374" s="20">
        <v>8.904223818942E12</v>
      </c>
      <c r="C374" s="20" t="s">
        <v>494</v>
      </c>
      <c r="D374" s="15">
        <f>VLOOKUP(B374,'Company X - SKU Master'!$A:$B,2,0)</f>
        <v>133</v>
      </c>
      <c r="E374" s="22">
        <f t="shared" si="1"/>
        <v>0.133</v>
      </c>
    </row>
    <row r="375">
      <c r="A375" s="19" t="s">
        <v>93</v>
      </c>
      <c r="B375" s="20">
        <v>8.90422381885E12</v>
      </c>
      <c r="C375" s="20" t="s">
        <v>494</v>
      </c>
      <c r="D375" s="15">
        <f>VLOOKUP(B375,'Company X - SKU Master'!$A:$B,2,0)</f>
        <v>240</v>
      </c>
      <c r="E375" s="22">
        <f t="shared" si="1"/>
        <v>0.24</v>
      </c>
    </row>
    <row r="376">
      <c r="A376" s="19" t="s">
        <v>19</v>
      </c>
      <c r="B376" s="20">
        <v>8.904223819437E12</v>
      </c>
      <c r="C376" s="20" t="s">
        <v>496</v>
      </c>
      <c r="D376" s="15">
        <f>VLOOKUP(B376,'Company X - SKU Master'!$A:$B,2,0)</f>
        <v>552</v>
      </c>
      <c r="E376" s="22">
        <f t="shared" si="1"/>
        <v>1.104</v>
      </c>
    </row>
    <row r="377">
      <c r="A377" s="19" t="s">
        <v>19</v>
      </c>
      <c r="B377" s="20">
        <v>8.904223819352E12</v>
      </c>
      <c r="C377" s="20" t="s">
        <v>494</v>
      </c>
      <c r="D377" s="15">
        <f>VLOOKUP(B377,'Company X - SKU Master'!$A:$B,2,0)</f>
        <v>165</v>
      </c>
      <c r="E377" s="22">
        <f t="shared" si="1"/>
        <v>0.165</v>
      </c>
    </row>
    <row r="378">
      <c r="A378" s="19" t="s">
        <v>19</v>
      </c>
      <c r="B378" s="20">
        <v>8.904223819024E12</v>
      </c>
      <c r="C378" s="20" t="s">
        <v>500</v>
      </c>
      <c r="D378" s="15">
        <f>VLOOKUP(B378,'Company X - SKU Master'!$A:$B,2,0)</f>
        <v>112</v>
      </c>
      <c r="E378" s="22">
        <f t="shared" si="1"/>
        <v>0.896</v>
      </c>
    </row>
    <row r="379">
      <c r="A379" s="19" t="s">
        <v>19</v>
      </c>
      <c r="B379" s="20">
        <v>8.904223818874E12</v>
      </c>
      <c r="C379" s="20" t="s">
        <v>494</v>
      </c>
      <c r="D379" s="15">
        <f>VLOOKUP(B379,'Company X - SKU Master'!$A:$B,2,0)</f>
        <v>100</v>
      </c>
      <c r="E379" s="22">
        <f t="shared" si="1"/>
        <v>0.1</v>
      </c>
    </row>
    <row r="380">
      <c r="A380" s="19" t="s">
        <v>91</v>
      </c>
      <c r="B380" s="20">
        <v>8.904223818706E12</v>
      </c>
      <c r="C380" s="20" t="s">
        <v>494</v>
      </c>
      <c r="D380" s="15">
        <f>VLOOKUP(B380,'Company X - SKU Master'!$A:$B,2,0)</f>
        <v>127</v>
      </c>
      <c r="E380" s="22">
        <f t="shared" si="1"/>
        <v>0.127</v>
      </c>
    </row>
    <row r="381">
      <c r="A381" s="19" t="s">
        <v>91</v>
      </c>
      <c r="B381" s="20">
        <v>8.904223818942E12</v>
      </c>
      <c r="C381" s="20" t="s">
        <v>494</v>
      </c>
      <c r="D381" s="15">
        <f>VLOOKUP(B381,'Company X - SKU Master'!$A:$B,2,0)</f>
        <v>133</v>
      </c>
      <c r="E381" s="22">
        <f t="shared" si="1"/>
        <v>0.133</v>
      </c>
    </row>
    <row r="382">
      <c r="A382" s="19" t="s">
        <v>91</v>
      </c>
      <c r="B382" s="20">
        <v>8.90422381885E12</v>
      </c>
      <c r="C382" s="20" t="s">
        <v>494</v>
      </c>
      <c r="D382" s="15">
        <f>VLOOKUP(B382,'Company X - SKU Master'!$A:$B,2,0)</f>
        <v>240</v>
      </c>
      <c r="E382" s="22">
        <f t="shared" si="1"/>
        <v>0.24</v>
      </c>
    </row>
    <row r="383">
      <c r="A383" s="19" t="s">
        <v>195</v>
      </c>
      <c r="B383" s="20">
        <v>8.904223818706E12</v>
      </c>
      <c r="C383" s="20" t="s">
        <v>494</v>
      </c>
      <c r="D383" s="15">
        <f>VLOOKUP(B383,'Company X - SKU Master'!$A:$B,2,0)</f>
        <v>127</v>
      </c>
      <c r="E383" s="22">
        <f t="shared" si="1"/>
        <v>0.127</v>
      </c>
    </row>
    <row r="384">
      <c r="A384" s="19" t="s">
        <v>195</v>
      </c>
      <c r="B384" s="20">
        <v>8.904223818942E12</v>
      </c>
      <c r="C384" s="20" t="s">
        <v>494</v>
      </c>
      <c r="D384" s="15">
        <f>VLOOKUP(B384,'Company X - SKU Master'!$A:$B,2,0)</f>
        <v>133</v>
      </c>
      <c r="E384" s="22">
        <f t="shared" si="1"/>
        <v>0.133</v>
      </c>
    </row>
    <row r="385">
      <c r="A385" s="19" t="s">
        <v>195</v>
      </c>
      <c r="B385" s="20">
        <v>8.90422381885E12</v>
      </c>
      <c r="C385" s="20" t="s">
        <v>494</v>
      </c>
      <c r="D385" s="15">
        <f>VLOOKUP(B385,'Company X - SKU Master'!$A:$B,2,0)</f>
        <v>240</v>
      </c>
      <c r="E385" s="22">
        <f t="shared" si="1"/>
        <v>0.24</v>
      </c>
    </row>
    <row r="386">
      <c r="A386" s="19" t="s">
        <v>17</v>
      </c>
      <c r="B386" s="20">
        <v>8.904223819017E12</v>
      </c>
      <c r="C386" s="20" t="s">
        <v>494</v>
      </c>
      <c r="D386" s="15">
        <f>VLOOKUP(B386,'Company X - SKU Master'!$A:$B,2,0)</f>
        <v>115</v>
      </c>
      <c r="E386" s="22">
        <f t="shared" si="1"/>
        <v>0.115</v>
      </c>
    </row>
    <row r="387">
      <c r="A387" s="19" t="s">
        <v>17</v>
      </c>
      <c r="B387" s="20">
        <v>8.904223818706E12</v>
      </c>
      <c r="C387" s="20" t="s">
        <v>494</v>
      </c>
      <c r="D387" s="15">
        <f>VLOOKUP(B387,'Company X - SKU Master'!$A:$B,2,0)</f>
        <v>127</v>
      </c>
      <c r="E387" s="22">
        <f t="shared" si="1"/>
        <v>0.127</v>
      </c>
    </row>
    <row r="388">
      <c r="A388" s="19" t="s">
        <v>17</v>
      </c>
      <c r="B388" s="20">
        <v>8.904223818942E12</v>
      </c>
      <c r="C388" s="20" t="s">
        <v>494</v>
      </c>
      <c r="D388" s="15">
        <f>VLOOKUP(B388,'Company X - SKU Master'!$A:$B,2,0)</f>
        <v>133</v>
      </c>
      <c r="E388" s="22">
        <f t="shared" si="1"/>
        <v>0.133</v>
      </c>
    </row>
    <row r="389">
      <c r="A389" s="19" t="s">
        <v>17</v>
      </c>
      <c r="B389" s="20">
        <v>8.90422381885E12</v>
      </c>
      <c r="C389" s="20" t="s">
        <v>494</v>
      </c>
      <c r="D389" s="15">
        <f>VLOOKUP(B389,'Company X - SKU Master'!$A:$B,2,0)</f>
        <v>240</v>
      </c>
      <c r="E389" s="22">
        <f t="shared" si="1"/>
        <v>0.24</v>
      </c>
    </row>
    <row r="390">
      <c r="A390" s="19" t="s">
        <v>89</v>
      </c>
      <c r="B390" s="20">
        <v>8.904223819161E12</v>
      </c>
      <c r="C390" s="20" t="s">
        <v>494</v>
      </c>
      <c r="D390" s="15">
        <f>VLOOKUP(B390,'Company X - SKU Master'!$A:$B,2,0)</f>
        <v>115</v>
      </c>
      <c r="E390" s="22">
        <f t="shared" si="1"/>
        <v>0.115</v>
      </c>
    </row>
    <row r="391">
      <c r="A391" s="19" t="s">
        <v>89</v>
      </c>
      <c r="B391" s="20">
        <v>8.90422381926E12</v>
      </c>
      <c r="C391" s="20" t="s">
        <v>494</v>
      </c>
      <c r="D391" s="15">
        <f>VLOOKUP(B391,'Company X - SKU Master'!$A:$B,2,0)</f>
        <v>130</v>
      </c>
      <c r="E391" s="22">
        <f t="shared" si="1"/>
        <v>0.13</v>
      </c>
    </row>
    <row r="392">
      <c r="A392" s="19" t="s">
        <v>87</v>
      </c>
      <c r="B392" s="20">
        <v>8.904223819161E12</v>
      </c>
      <c r="C392" s="20" t="s">
        <v>494</v>
      </c>
      <c r="D392" s="15">
        <f>VLOOKUP(B392,'Company X - SKU Master'!$A:$B,2,0)</f>
        <v>115</v>
      </c>
      <c r="E392" s="22">
        <f t="shared" si="1"/>
        <v>0.115</v>
      </c>
    </row>
    <row r="393">
      <c r="A393" s="19" t="s">
        <v>87</v>
      </c>
      <c r="B393" s="20">
        <v>8.90422381926E12</v>
      </c>
      <c r="C393" s="20" t="s">
        <v>494</v>
      </c>
      <c r="D393" s="15">
        <f>VLOOKUP(B393,'Company X - SKU Master'!$A:$B,2,0)</f>
        <v>130</v>
      </c>
      <c r="E393" s="22">
        <f t="shared" si="1"/>
        <v>0.13</v>
      </c>
    </row>
    <row r="394">
      <c r="A394" s="19" t="s">
        <v>15</v>
      </c>
      <c r="B394" s="20">
        <v>8.904223818645E12</v>
      </c>
      <c r="C394" s="20" t="s">
        <v>504</v>
      </c>
      <c r="D394" s="15">
        <f>VLOOKUP(B394,'Company X - SKU Master'!$A:$B,2,0)</f>
        <v>137</v>
      </c>
      <c r="E394" s="22">
        <f t="shared" si="1"/>
        <v>0.822</v>
      </c>
    </row>
    <row r="395">
      <c r="A395" s="19" t="s">
        <v>15</v>
      </c>
      <c r="B395" s="20">
        <v>8.904223819147E12</v>
      </c>
      <c r="C395" s="20" t="s">
        <v>496</v>
      </c>
      <c r="D395" s="15">
        <f>VLOOKUP(B395,'Company X - SKU Master'!$A:$B,2,0)</f>
        <v>240</v>
      </c>
      <c r="E395" s="22">
        <f t="shared" si="1"/>
        <v>0.48</v>
      </c>
    </row>
    <row r="396">
      <c r="A396" s="19" t="s">
        <v>85</v>
      </c>
      <c r="B396" s="20">
        <v>8.904223818706E12</v>
      </c>
      <c r="C396" s="20" t="s">
        <v>494</v>
      </c>
      <c r="D396" s="15">
        <f>VLOOKUP(B396,'Company X - SKU Master'!$A:$B,2,0)</f>
        <v>127</v>
      </c>
      <c r="E396" s="22">
        <f t="shared" si="1"/>
        <v>0.127</v>
      </c>
    </row>
    <row r="397">
      <c r="A397" s="19" t="s">
        <v>85</v>
      </c>
      <c r="B397" s="20">
        <v>8.904223818942E12</v>
      </c>
      <c r="C397" s="20" t="s">
        <v>494</v>
      </c>
      <c r="D397" s="15">
        <f>VLOOKUP(B397,'Company X - SKU Master'!$A:$B,2,0)</f>
        <v>133</v>
      </c>
      <c r="E397" s="22">
        <f t="shared" si="1"/>
        <v>0.133</v>
      </c>
    </row>
    <row r="398">
      <c r="A398" s="19" t="s">
        <v>85</v>
      </c>
      <c r="B398" s="20">
        <v>8.90422381885E12</v>
      </c>
      <c r="C398" s="20" t="s">
        <v>494</v>
      </c>
      <c r="D398" s="15">
        <f>VLOOKUP(B398,'Company X - SKU Master'!$A:$B,2,0)</f>
        <v>240</v>
      </c>
      <c r="E398" s="22">
        <f t="shared" si="1"/>
        <v>0.24</v>
      </c>
    </row>
    <row r="399">
      <c r="A399" s="19" t="s">
        <v>83</v>
      </c>
      <c r="B399" s="20">
        <v>8.90422381885E12</v>
      </c>
      <c r="C399" s="20" t="s">
        <v>496</v>
      </c>
      <c r="D399" s="15">
        <f>VLOOKUP(B399,'Company X - SKU Master'!$A:$B,2,0)</f>
        <v>240</v>
      </c>
      <c r="E399" s="22">
        <f t="shared" si="1"/>
        <v>0.48</v>
      </c>
    </row>
    <row r="400">
      <c r="A400" s="19" t="s">
        <v>81</v>
      </c>
      <c r="B400" s="20">
        <v>8.904223816214E12</v>
      </c>
      <c r="C400" s="20" t="s">
        <v>494</v>
      </c>
      <c r="D400" s="15">
        <f>VLOOKUP(B400,'Company X - SKU Master'!$A:$B,2,0)</f>
        <v>120</v>
      </c>
      <c r="E400" s="22">
        <f t="shared" si="1"/>
        <v>0.12</v>
      </c>
    </row>
    <row r="401">
      <c r="A401" s="19" t="s">
        <v>81</v>
      </c>
      <c r="B401" s="20">
        <v>8.904223818874E12</v>
      </c>
      <c r="C401" s="20" t="s">
        <v>494</v>
      </c>
      <c r="D401" s="15">
        <f>VLOOKUP(B401,'Company X - SKU Master'!$A:$B,2,0)</f>
        <v>100</v>
      </c>
      <c r="E401" s="22">
        <f t="shared" si="1"/>
        <v>0.1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490</v>
      </c>
      <c r="B1" s="17" t="s">
        <v>505</v>
      </c>
    </row>
    <row r="2">
      <c r="A2" s="19">
        <v>8.904223815682E12</v>
      </c>
      <c r="B2" s="20">
        <v>210.0</v>
      </c>
    </row>
    <row r="3">
      <c r="A3" s="19">
        <v>8.904223815859E12</v>
      </c>
      <c r="B3" s="20">
        <v>165.0</v>
      </c>
    </row>
    <row r="4">
      <c r="A4" s="19">
        <v>8.904223815866E12</v>
      </c>
      <c r="B4" s="20">
        <v>113.0</v>
      </c>
    </row>
    <row r="5">
      <c r="A5" s="19">
        <v>8.904223815873E12</v>
      </c>
      <c r="B5" s="20">
        <v>65.0</v>
      </c>
    </row>
    <row r="6">
      <c r="A6" s="19">
        <v>8.904223816214E12</v>
      </c>
      <c r="B6" s="20">
        <v>120.0</v>
      </c>
    </row>
    <row r="7">
      <c r="A7" s="19">
        <v>8.904223816665E12</v>
      </c>
      <c r="B7" s="20">
        <v>102.0</v>
      </c>
    </row>
    <row r="8">
      <c r="A8" s="19">
        <v>8.904223817273E12</v>
      </c>
      <c r="B8" s="20">
        <v>65.0</v>
      </c>
    </row>
    <row r="9">
      <c r="A9" s="19">
        <v>8.904223817334E12</v>
      </c>
      <c r="B9" s="20">
        <v>170.0</v>
      </c>
    </row>
    <row r="10">
      <c r="A10" s="19">
        <v>8.904223817501E12</v>
      </c>
      <c r="B10" s="20">
        <v>350.0</v>
      </c>
    </row>
    <row r="11">
      <c r="A11" s="19">
        <v>8.90422381843E12</v>
      </c>
      <c r="B11" s="20">
        <v>165.0</v>
      </c>
    </row>
    <row r="12">
      <c r="A12" s="19">
        <v>8.904223818478E12</v>
      </c>
      <c r="B12" s="20">
        <v>350.0</v>
      </c>
    </row>
    <row r="13">
      <c r="A13" s="19">
        <v>8.904223818553E12</v>
      </c>
      <c r="B13" s="20">
        <v>115.0</v>
      </c>
    </row>
    <row r="14">
      <c r="A14" s="19">
        <v>8.904223818577E12</v>
      </c>
      <c r="B14" s="20">
        <v>150.0</v>
      </c>
    </row>
    <row r="15">
      <c r="A15" s="19">
        <v>8.904223818591E12</v>
      </c>
      <c r="B15" s="20">
        <v>120.0</v>
      </c>
    </row>
    <row r="16">
      <c r="A16" s="19">
        <v>8.904223818614E12</v>
      </c>
      <c r="B16" s="20">
        <v>65.0</v>
      </c>
    </row>
    <row r="17">
      <c r="A17" s="19">
        <v>8.904223818638E12</v>
      </c>
      <c r="B17" s="20">
        <v>137.0</v>
      </c>
    </row>
    <row r="18">
      <c r="A18" s="19">
        <v>8.904223818645E12</v>
      </c>
      <c r="B18" s="20">
        <v>137.0</v>
      </c>
    </row>
    <row r="19">
      <c r="A19" s="19">
        <v>8.904223818669E12</v>
      </c>
      <c r="B19" s="20">
        <v>240.0</v>
      </c>
    </row>
    <row r="20">
      <c r="A20" s="19">
        <v>8.904223818683E12</v>
      </c>
      <c r="B20" s="20">
        <v>121.0</v>
      </c>
    </row>
    <row r="21">
      <c r="A21" s="19">
        <v>8.904223818706E12</v>
      </c>
      <c r="B21" s="20">
        <v>127.0</v>
      </c>
    </row>
    <row r="22">
      <c r="A22" s="19">
        <v>8.904223818713E12</v>
      </c>
      <c r="B22" s="20">
        <v>120.0</v>
      </c>
    </row>
    <row r="23">
      <c r="A23" s="19">
        <v>8.904223815804E12</v>
      </c>
      <c r="B23" s="20">
        <v>160.0</v>
      </c>
    </row>
    <row r="24">
      <c r="A24" s="19">
        <v>8.904223818454E12</v>
      </c>
      <c r="B24" s="20">
        <v>232.0</v>
      </c>
    </row>
    <row r="25">
      <c r="A25" s="19">
        <v>8.904223818751E12</v>
      </c>
      <c r="B25" s="20">
        <v>113.0</v>
      </c>
    </row>
    <row r="26">
      <c r="A26" s="19">
        <v>8.90422381885E12</v>
      </c>
      <c r="B26" s="20">
        <v>240.0</v>
      </c>
    </row>
    <row r="27">
      <c r="A27" s="19">
        <v>8.904223818935E12</v>
      </c>
      <c r="B27" s="20">
        <v>120.0</v>
      </c>
    </row>
    <row r="28">
      <c r="A28" s="19">
        <v>8.904223818874E12</v>
      </c>
      <c r="B28" s="20">
        <v>100.0</v>
      </c>
    </row>
    <row r="29">
      <c r="A29" s="19">
        <v>8.904223818997E12</v>
      </c>
      <c r="B29" s="20">
        <v>490.0</v>
      </c>
    </row>
    <row r="30">
      <c r="A30" s="19">
        <v>8.904223818942E12</v>
      </c>
      <c r="B30" s="20">
        <v>133.0</v>
      </c>
    </row>
    <row r="31">
      <c r="A31" s="19">
        <v>8.904223819024E12</v>
      </c>
      <c r="B31" s="20">
        <v>112.0</v>
      </c>
    </row>
    <row r="32">
      <c r="A32" s="19">
        <v>8.904223819031E12</v>
      </c>
      <c r="B32" s="20">
        <v>112.0</v>
      </c>
    </row>
    <row r="33">
      <c r="A33" s="19">
        <v>8.90422381898E12</v>
      </c>
      <c r="B33" s="20">
        <v>110.0</v>
      </c>
    </row>
    <row r="34">
      <c r="A34" s="19">
        <v>8.904223819017E12</v>
      </c>
      <c r="B34" s="20">
        <v>115.0</v>
      </c>
    </row>
    <row r="35">
      <c r="A35" s="19">
        <v>8.904223819093E12</v>
      </c>
      <c r="B35" s="20">
        <v>150.0</v>
      </c>
    </row>
    <row r="36">
      <c r="A36" s="19">
        <v>8.904223819109E12</v>
      </c>
      <c r="B36" s="20">
        <v>100.0</v>
      </c>
    </row>
    <row r="37">
      <c r="A37" s="19">
        <v>8.904223819116E12</v>
      </c>
      <c r="B37" s="20">
        <v>30.0</v>
      </c>
    </row>
    <row r="38">
      <c r="A38" s="19">
        <v>8.904223819161E12</v>
      </c>
      <c r="B38" s="20">
        <v>115.0</v>
      </c>
    </row>
    <row r="39">
      <c r="A39" s="19">
        <v>8.904223819147E12</v>
      </c>
      <c r="B39" s="20">
        <v>240.0</v>
      </c>
    </row>
    <row r="40">
      <c r="A40" s="19">
        <v>8.90422381913E12</v>
      </c>
      <c r="B40" s="20">
        <v>350.0</v>
      </c>
    </row>
    <row r="41">
      <c r="A41" s="19">
        <v>8.904223818881E12</v>
      </c>
      <c r="B41" s="20">
        <v>140.0</v>
      </c>
    </row>
    <row r="42">
      <c r="A42" s="19">
        <v>8.904223818898E12</v>
      </c>
      <c r="B42" s="20">
        <v>140.0</v>
      </c>
    </row>
    <row r="43">
      <c r="A43" s="19">
        <v>8.904223819277E12</v>
      </c>
      <c r="B43" s="20">
        <v>350.0</v>
      </c>
    </row>
    <row r="44">
      <c r="A44" s="19">
        <v>8.904223819284E12</v>
      </c>
      <c r="B44" s="20">
        <v>350.0</v>
      </c>
    </row>
    <row r="45">
      <c r="A45" s="19">
        <v>8.904223819345E12</v>
      </c>
      <c r="B45" s="20">
        <v>165.0</v>
      </c>
    </row>
    <row r="46">
      <c r="A46" s="19">
        <v>8.904223819352E12</v>
      </c>
      <c r="B46" s="20">
        <v>165.0</v>
      </c>
    </row>
    <row r="47">
      <c r="A47" s="19">
        <v>8.904223819239E12</v>
      </c>
      <c r="B47" s="20">
        <v>290.0</v>
      </c>
    </row>
    <row r="48">
      <c r="A48" s="19">
        <v>8.904223819246E12</v>
      </c>
      <c r="B48" s="20">
        <v>290.0</v>
      </c>
    </row>
    <row r="49">
      <c r="A49" s="19">
        <v>8.904223819253E12</v>
      </c>
      <c r="B49" s="20">
        <v>290.0</v>
      </c>
    </row>
    <row r="50">
      <c r="A50" s="19">
        <v>8.904223819291E12</v>
      </c>
      <c r="B50" s="20">
        <v>112.0</v>
      </c>
    </row>
    <row r="51">
      <c r="A51" s="19">
        <v>8.904223819437E12</v>
      </c>
      <c r="B51" s="20">
        <v>552.0</v>
      </c>
    </row>
    <row r="52">
      <c r="A52" s="19" t="s">
        <v>503</v>
      </c>
      <c r="B52" s="20">
        <v>500.0</v>
      </c>
    </row>
    <row r="53">
      <c r="A53" s="19" t="s">
        <v>502</v>
      </c>
      <c r="B53" s="20">
        <v>500.0</v>
      </c>
    </row>
    <row r="54">
      <c r="A54" s="19" t="s">
        <v>495</v>
      </c>
      <c r="B54" s="20">
        <v>500.0</v>
      </c>
    </row>
    <row r="55">
      <c r="A55" s="19">
        <v>8.904223819369E12</v>
      </c>
      <c r="B55" s="20">
        <v>170.0</v>
      </c>
    </row>
    <row r="56">
      <c r="A56" s="19" t="s">
        <v>501</v>
      </c>
      <c r="B56" s="20">
        <v>500.0</v>
      </c>
    </row>
    <row r="57">
      <c r="A57" s="19">
        <v>8.904223819123E12</v>
      </c>
      <c r="B57" s="20">
        <v>250.0</v>
      </c>
    </row>
    <row r="58">
      <c r="A58" s="19" t="s">
        <v>495</v>
      </c>
      <c r="B58" s="20">
        <v>500.0</v>
      </c>
    </row>
    <row r="59">
      <c r="A59" s="19">
        <v>8.904223819468E12</v>
      </c>
      <c r="B59" s="20">
        <v>240.0</v>
      </c>
    </row>
    <row r="60">
      <c r="A60" s="19">
        <v>8.90422381926E12</v>
      </c>
      <c r="B60" s="20">
        <v>130.0</v>
      </c>
    </row>
    <row r="61">
      <c r="A61" s="19">
        <v>8.904223819321E12</v>
      </c>
      <c r="B61" s="20">
        <v>600.0</v>
      </c>
    </row>
    <row r="62">
      <c r="A62" s="19">
        <v>8.904223819338E12</v>
      </c>
      <c r="B62" s="20">
        <v>600.0</v>
      </c>
    </row>
    <row r="63">
      <c r="A63" s="19">
        <v>8.904223819505E12</v>
      </c>
      <c r="B63" s="20">
        <v>210.0</v>
      </c>
    </row>
    <row r="64">
      <c r="A64" s="19">
        <v>8.904223819499E12</v>
      </c>
      <c r="B64" s="20">
        <v>210.0</v>
      </c>
    </row>
    <row r="65">
      <c r="A65" s="19">
        <v>8.904223819512E12</v>
      </c>
      <c r="B65" s="20">
        <v>210.0</v>
      </c>
    </row>
    <row r="66">
      <c r="A66" s="19">
        <v>8.904223819543E12</v>
      </c>
      <c r="B66" s="20">
        <v>300.0</v>
      </c>
    </row>
    <row r="67">
      <c r="A67" s="19" t="s">
        <v>497</v>
      </c>
      <c r="B67" s="20">
        <v>10.0</v>
      </c>
    </row>
  </sheetData>
  <drawing r:id="rId1"/>
</worksheet>
</file>